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mparación" sheetId="2" state="visible" r:id="rId2"/>
    <sheet xmlns:r="http://schemas.openxmlformats.org/officeDocument/2006/relationships" name="Tolerancias" sheetId="3" state="visible" r:id="rId3"/>
    <sheet xmlns:r="http://schemas.openxmlformats.org/officeDocument/2006/relationships" name="Materiales y empaques" sheetId="4" state="visible" r:id="rId4"/>
    <sheet xmlns:r="http://schemas.openxmlformats.org/officeDocument/2006/relationships" name="Casos propios" sheetId="5" state="visible" r:id="rId5"/>
    <sheet xmlns:r="http://schemas.openxmlformats.org/officeDocument/2006/relationships" name="Hallazgos" sheetId="6" state="visible" r:id="rId6"/>
  </sheets>
  <definedNames>
    <definedName name="_xlnm._FilterDatabase" localSheetId="1" hidden="1">'Comparación'!$A$1:$K$136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0D3B66"/>
      <sz val="14"/>
    </font>
    <font>
      <color rgb="00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3F1E6"/>
        </patternFill>
      </fill>
    </dxf>
    <dxf>
      <fill>
        <patternFill patternType="solid">
          <fgColor rgb="00FBE3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Planilla de comparación · Workshop N25 Valves Sizing (24/10/2026)</t>
        </is>
      </c>
    </row>
    <row r="2">
      <c r="A2" s="2" t="inlineStr">
        <is>
          <t>INSTRUMATIK S.A.S.</t>
        </is>
      </c>
    </row>
    <row r="3">
      <c r="A3" s="2" t="inlineStr"/>
    </row>
    <row r="4">
      <c r="A4" s="2" t="inlineStr">
        <is>
          <t>1. Abra en N25 Valves Sizing cada caso de la carpeta «2_Casos_del_workshop» (Inicio &gt; Abrir proyecto) y verifique que obtiene los valores de la hoja «Comparación».</t>
        </is>
      </c>
    </row>
    <row r="5">
      <c r="A5" s="2" t="inlineStr">
        <is>
          <t>2. Ingrese los mismos datos en su software de referencia (Fisher, Masoneilan, Conval, etc.). Use los mismos FL, xT y Fd, diámetros y cédulas.</t>
        </is>
      </c>
    </row>
    <row r="6">
      <c r="A6" s="2" t="inlineStr">
        <is>
          <t>3. Escriba el resultado de su software en la columna amarilla «Software de referencia». La diferencia y el estado se calculan solos.</t>
        </is>
      </c>
    </row>
    <row r="7">
      <c r="A7" s="2" t="inlineStr">
        <is>
          <t>4. Agregue sus propios casos reales en la hoja «Casos propios» (con el proyecto .valvula guardado desde N25 Valves Sizing).</t>
        </is>
      </c>
    </row>
    <row r="8">
      <c r="A8" s="2" t="inlineStr">
        <is>
          <t>5. Anote cualquier error, duda o mejora en la hoja «Hallazgos».</t>
        </is>
      </c>
    </row>
    <row r="9">
      <c r="A9" s="2" t="inlineStr">
        <is>
          <t>6. Envíe esta planilla, los proyectos .valvula y las capturas que considere útiles desde Ayuda &gt; Enviar comentarios.</t>
        </is>
      </c>
    </row>
    <row r="10">
      <c r="A10" s="2" t="inlineStr"/>
    </row>
    <row r="11">
      <c r="A11" s="2" t="inlineStr">
        <is>
          <t>Estado: «OK» si la diferencia está dentro de la tolerancia de la hoja «Tolerancias», «Revisar» si la supera.</t>
        </is>
      </c>
    </row>
    <row r="12">
      <c r="A12" s="2" t="inlineStr">
        <is>
          <t>Una diferencia grande no siempre es un error: anote en «Observaciones» qué factor o propiedad usó su software.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6" customWidth="1" min="3" max="3"/>
    <col width="9" customWidth="1" min="4" max="4"/>
    <col width="16" customWidth="1" min="5" max="5"/>
    <col width="16" customWidth="1" min="6" max="6"/>
    <col width="18" customWidth="1" min="7" max="7"/>
    <col width="12" customWidth="1" min="8" max="8"/>
    <col width="11" customWidth="1" min="9" max="9"/>
    <col width="10" customWidth="1" min="10" max="10"/>
    <col width="45" customWidth="1" min="11" max="11"/>
  </cols>
  <sheetData>
    <row r="1" ht="32" customHeight="1">
      <c r="A1" s="3" t="inlineStr">
        <is>
          <t>Caso</t>
        </is>
      </c>
      <c r="B1" s="3" t="inlineStr">
        <is>
          <t>Condición</t>
        </is>
      </c>
      <c r="C1" s="3" t="inlineStr">
        <is>
          <t>Variable</t>
        </is>
      </c>
      <c r="D1" s="3" t="inlineStr">
        <is>
          <t>Unidad</t>
        </is>
      </c>
      <c r="E1" s="3" t="inlineStr">
        <is>
          <t>N25 Valves Sizing</t>
        </is>
      </c>
      <c r="F1" s="3" t="inlineStr">
        <is>
          <t>Software de referencia</t>
        </is>
      </c>
      <c r="G1" s="3" t="inlineStr">
        <is>
          <t>Nombre del software</t>
        </is>
      </c>
      <c r="H1" s="3" t="inlineStr">
        <is>
          <t>Diferencia</t>
        </is>
      </c>
      <c r="I1" s="3" t="inlineStr">
        <is>
          <t>Tolerancia</t>
        </is>
      </c>
      <c r="J1" s="3" t="inlineStr">
        <is>
          <t>Estado</t>
        </is>
      </c>
      <c r="K1" s="3" t="inlineStr">
        <is>
          <t>Observaciones</t>
        </is>
      </c>
    </row>
    <row r="2">
      <c r="A2" s="4" t="inlineStr">
        <is>
          <t>Caso A · Baja · Agua de enfriamiento</t>
        </is>
      </c>
      <c r="B2" s="4" t="inlineStr">
        <is>
          <t>Mínimo</t>
        </is>
      </c>
      <c r="C2" s="4" t="inlineStr">
        <is>
          <t>Coeficiente de flujo (Cv)</t>
        </is>
      </c>
      <c r="D2" s="4" t="inlineStr"/>
      <c r="E2" s="4" t="n">
        <v>445.6</v>
      </c>
      <c r="F2" s="5" t="n"/>
      <c r="G2" s="5" t="n"/>
      <c r="H2" s="6">
        <f>IF(F2="","",(F2-E2)/E2)</f>
        <v/>
      </c>
      <c r="I2" s="4">
        <f>IF(Tolerancias!C2="","",Tolerancias!C2)</f>
        <v/>
      </c>
      <c r="J2" s="4">
        <f>IF(OR(F2="",I2=""),"",IF(ABS(H2)*100&lt;=I2,"OK","Revisar"))</f>
        <v/>
      </c>
      <c r="K2" s="4" t="n"/>
    </row>
    <row r="3">
      <c r="A3" s="4" t="inlineStr">
        <is>
          <t>Caso A · Baja · Agua de enfriamiento</t>
        </is>
      </c>
      <c r="B3" s="4" t="inlineStr">
        <is>
          <t>Normal</t>
        </is>
      </c>
      <c r="C3" s="4" t="inlineStr">
        <is>
          <t>Coeficiente de flujo (Cv)</t>
        </is>
      </c>
      <c r="D3" s="4" t="inlineStr"/>
      <c r="E3" s="4" t="n">
        <v>679.1</v>
      </c>
      <c r="F3" s="5" t="n"/>
      <c r="G3" s="5" t="n"/>
      <c r="H3" s="6">
        <f>IF(F3="","",(F3-E3)/E3)</f>
        <v/>
      </c>
      <c r="I3" s="4">
        <f>IF(Tolerancias!C2="","",Tolerancias!C2)</f>
        <v/>
      </c>
      <c r="J3" s="4">
        <f>IF(OR(F3="",I3=""),"",IF(ABS(H3)*100&lt;=I3,"OK","Revisar"))</f>
        <v/>
      </c>
      <c r="K3" s="4" t="n"/>
    </row>
    <row r="4">
      <c r="A4" s="4" t="inlineStr">
        <is>
          <t>Caso A · Baja · Agua de enfriamiento</t>
        </is>
      </c>
      <c r="B4" s="4" t="inlineStr">
        <is>
          <t>Máximo</t>
        </is>
      </c>
      <c r="C4" s="4" t="inlineStr">
        <is>
          <t>Coeficiente de flujo (Cv)</t>
        </is>
      </c>
      <c r="D4" s="4" t="inlineStr"/>
      <c r="E4" s="4" t="n">
        <v>1046</v>
      </c>
      <c r="F4" s="5" t="n"/>
      <c r="G4" s="5" t="n"/>
      <c r="H4" s="6">
        <f>IF(F4="","",(F4-E4)/E4)</f>
        <v/>
      </c>
      <c r="I4" s="4">
        <f>IF(Tolerancias!C2="","",Tolerancias!C2)</f>
        <v/>
      </c>
      <c r="J4" s="4">
        <f>IF(OR(F4="",I4=""),"",IF(ABS(H4)*100&lt;=I4,"OK","Revisar"))</f>
        <v/>
      </c>
      <c r="K4" s="4" t="n"/>
    </row>
    <row r="5">
      <c r="A5" s="4" t="inlineStr">
        <is>
          <t>Caso A · Baja · Agua de enfriamiento</t>
        </is>
      </c>
      <c r="B5" s="4" t="inlineStr">
        <is>
          <t>Mínimo</t>
        </is>
      </c>
      <c r="C5" s="4" t="inlineStr">
        <is>
          <t>ΔP crítica de flujo estrangulado (ΔP choked)</t>
        </is>
      </c>
      <c r="D5" s="4" t="inlineStr">
        <is>
          <t>bar</t>
        </is>
      </c>
      <c r="E5" s="4" t="n">
        <v>2.504</v>
      </c>
      <c r="F5" s="5" t="n"/>
      <c r="G5" s="5" t="n"/>
      <c r="H5" s="6">
        <f>IF(F5="","",(F5-E5)/E5)</f>
        <v/>
      </c>
      <c r="I5" s="4">
        <f>IF(Tolerancias!C4="","",Tolerancias!C4)</f>
        <v/>
      </c>
      <c r="J5" s="4">
        <f>IF(OR(F5="",I5=""),"",IF(ABS(H5)*100&lt;=I5,"OK","Revisar"))</f>
        <v/>
      </c>
      <c r="K5" s="4" t="n"/>
    </row>
    <row r="6">
      <c r="A6" s="4" t="inlineStr">
        <is>
          <t>Caso A · Baja · Agua de enfriamiento</t>
        </is>
      </c>
      <c r="B6" s="4" t="inlineStr">
        <is>
          <t>Normal</t>
        </is>
      </c>
      <c r="C6" s="4" t="inlineStr">
        <is>
          <t>ΔP crítica de flujo estrangulado (ΔP choked)</t>
        </is>
      </c>
      <c r="D6" s="4" t="inlineStr">
        <is>
          <t>bar</t>
        </is>
      </c>
      <c r="E6" s="4" t="n">
        <v>2.374</v>
      </c>
      <c r="F6" s="5" t="n"/>
      <c r="G6" s="5" t="n"/>
      <c r="H6" s="6">
        <f>IF(F6="","",(F6-E6)/E6)</f>
        <v/>
      </c>
      <c r="I6" s="4">
        <f>IF(Tolerancias!C4="","",Tolerancias!C4)</f>
        <v/>
      </c>
      <c r="J6" s="4">
        <f>IF(OR(F6="",I6=""),"",IF(ABS(H6)*100&lt;=I6,"OK","Revisar"))</f>
        <v/>
      </c>
      <c r="K6" s="4" t="n"/>
    </row>
    <row r="7">
      <c r="A7" s="4" t="inlineStr">
        <is>
          <t>Caso A · Baja · Agua de enfriamiento</t>
        </is>
      </c>
      <c r="B7" s="4" t="inlineStr">
        <is>
          <t>Máximo</t>
        </is>
      </c>
      <c r="C7" s="4" t="inlineStr">
        <is>
          <t>ΔP crítica de flujo estrangulado (ΔP choked)</t>
        </is>
      </c>
      <c r="D7" s="4" t="inlineStr">
        <is>
          <t>bar</t>
        </is>
      </c>
      <c r="E7" s="4" t="n">
        <v>2.201</v>
      </c>
      <c r="F7" s="5" t="n"/>
      <c r="G7" s="5" t="n"/>
      <c r="H7" s="6">
        <f>IF(F7="","",(F7-E7)/E7)</f>
        <v/>
      </c>
      <c r="I7" s="4">
        <f>IF(Tolerancias!C4="","",Tolerancias!C4)</f>
        <v/>
      </c>
      <c r="J7" s="4">
        <f>IF(OR(F7="",I7=""),"",IF(ABS(H7)*100&lt;=I7,"OK","Revisar"))</f>
        <v/>
      </c>
      <c r="K7" s="4" t="n"/>
    </row>
    <row r="8">
      <c r="A8" s="4" t="inlineStr">
        <is>
          <t>Caso A · Baja · Agua de enfriamiento</t>
        </is>
      </c>
      <c r="B8" s="4" t="inlineStr">
        <is>
          <t>Mínimo</t>
        </is>
      </c>
      <c r="C8" s="4" t="inlineStr">
        <is>
          <t>Factor de corrección por tuberías (Fp)</t>
        </is>
      </c>
      <c r="D8" s="4" t="inlineStr"/>
      <c r="E8" s="4" t="n">
        <v>0.988</v>
      </c>
      <c r="F8" s="5" t="n"/>
      <c r="G8" s="5" t="n"/>
      <c r="H8" s="6">
        <f>IF(F8="","",(F8-E8)/E8)</f>
        <v/>
      </c>
      <c r="I8" s="4">
        <f>IF(Tolerancias!C5="","",Tolerancias!C5)</f>
        <v/>
      </c>
      <c r="J8" s="4">
        <f>IF(OR(F8="",I8=""),"",IF(ABS(H8)*100&lt;=I8,"OK","Revisar"))</f>
        <v/>
      </c>
      <c r="K8" s="4" t="n"/>
    </row>
    <row r="9">
      <c r="A9" s="4" t="inlineStr">
        <is>
          <t>Caso A · Baja · Agua de enfriamiento</t>
        </is>
      </c>
      <c r="B9" s="4" t="inlineStr">
        <is>
          <t>Normal</t>
        </is>
      </c>
      <c r="C9" s="4" t="inlineStr">
        <is>
          <t>Factor de corrección por tuberías (Fp)</t>
        </is>
      </c>
      <c r="D9" s="4" t="inlineStr"/>
      <c r="E9" s="4" t="n">
        <v>0.972</v>
      </c>
      <c r="F9" s="5" t="n"/>
      <c r="G9" s="5" t="n"/>
      <c r="H9" s="6">
        <f>IF(F9="","",(F9-E9)/E9)</f>
        <v/>
      </c>
      <c r="I9" s="4">
        <f>IF(Tolerancias!C5="","",Tolerancias!C5)</f>
        <v/>
      </c>
      <c r="J9" s="4">
        <f>IF(OR(F9="",I9=""),"",IF(ABS(H9)*100&lt;=I9,"OK","Revisar"))</f>
        <v/>
      </c>
      <c r="K9" s="4" t="n"/>
    </row>
    <row r="10">
      <c r="A10" s="4" t="inlineStr">
        <is>
          <t>Caso A · Baja · Agua de enfriamiento</t>
        </is>
      </c>
      <c r="B10" s="4" t="inlineStr">
        <is>
          <t>Máximo</t>
        </is>
      </c>
      <c r="C10" s="4" t="inlineStr">
        <is>
          <t>Factor de corrección por tuberías (Fp)</t>
        </is>
      </c>
      <c r="D10" s="4" t="inlineStr"/>
      <c r="E10" s="4" t="n">
        <v>0.9370000000000001</v>
      </c>
      <c r="F10" s="5" t="n"/>
      <c r="G10" s="5" t="n"/>
      <c r="H10" s="6">
        <f>IF(F10="","",(F10-E10)/E10)</f>
        <v/>
      </c>
      <c r="I10" s="4">
        <f>IF(Tolerancias!C5="","",Tolerancias!C5)</f>
        <v/>
      </c>
      <c r="J10" s="4">
        <f>IF(OR(F10="",I10=""),"",IF(ABS(H10)*100&lt;=I10,"OK","Revisar"))</f>
        <v/>
      </c>
      <c r="K10" s="4" t="n"/>
    </row>
    <row r="11">
      <c r="A11" s="4" t="inlineStr">
        <is>
          <t>Caso A · Baja · Agua de enfriamiento</t>
        </is>
      </c>
      <c r="B11" s="4" t="inlineStr">
        <is>
          <t>Mínimo</t>
        </is>
      </c>
      <c r="C11" s="4" t="inlineStr">
        <is>
          <t>Presión diferencial ΔP</t>
        </is>
      </c>
      <c r="D11" s="4" t="inlineStr">
        <is>
          <t>bar</t>
        </is>
      </c>
      <c r="E11" s="4" t="n">
        <v>1.1</v>
      </c>
      <c r="F11" s="5" t="n"/>
      <c r="G11" s="5" t="n"/>
      <c r="H11" s="6">
        <f>IF(F11="","",(F11-E11)/E11)</f>
        <v/>
      </c>
      <c r="I11" s="4">
        <f>IF(Tolerancias!C6="","",Tolerancias!C6)</f>
        <v/>
      </c>
      <c r="J11" s="4">
        <f>IF(OR(F11="",I11=""),"",IF(ABS(H11)*100&lt;=I11,"OK","Revisar"))</f>
        <v/>
      </c>
      <c r="K11" s="4" t="n"/>
    </row>
    <row r="12">
      <c r="A12" s="4" t="inlineStr">
        <is>
          <t>Caso A · Baja · Agua de enfriamiento</t>
        </is>
      </c>
      <c r="B12" s="4" t="inlineStr">
        <is>
          <t>Normal</t>
        </is>
      </c>
      <c r="C12" s="4" t="inlineStr">
        <is>
          <t>Presión diferencial ΔP</t>
        </is>
      </c>
      <c r="D12" s="4" t="inlineStr">
        <is>
          <t>bar</t>
        </is>
      </c>
      <c r="E12" s="4" t="n">
        <v>1.1</v>
      </c>
      <c r="F12" s="5" t="n"/>
      <c r="G12" s="5" t="n"/>
      <c r="H12" s="6">
        <f>IF(F12="","",(F12-E12)/E12)</f>
        <v/>
      </c>
      <c r="I12" s="4">
        <f>IF(Tolerancias!C6="","",Tolerancias!C6)</f>
        <v/>
      </c>
      <c r="J12" s="4">
        <f>IF(OR(F12="",I12=""),"",IF(ABS(H12)*100&lt;=I12,"OK","Revisar"))</f>
        <v/>
      </c>
      <c r="K12" s="4" t="n"/>
    </row>
    <row r="13">
      <c r="A13" s="4" t="inlineStr">
        <is>
          <t>Caso A · Baja · Agua de enfriamiento</t>
        </is>
      </c>
      <c r="B13" s="4" t="inlineStr">
        <is>
          <t>Máximo</t>
        </is>
      </c>
      <c r="C13" s="4" t="inlineStr">
        <is>
          <t>Presión diferencial ΔP</t>
        </is>
      </c>
      <c r="D13" s="4" t="inlineStr">
        <is>
          <t>bar</t>
        </is>
      </c>
      <c r="E13" s="4" t="n">
        <v>1</v>
      </c>
      <c r="F13" s="5" t="n"/>
      <c r="G13" s="5" t="n"/>
      <c r="H13" s="6">
        <f>IF(F13="","",(F13-E13)/E13)</f>
        <v/>
      </c>
      <c r="I13" s="4">
        <f>IF(Tolerancias!C6="","",Tolerancias!C6)</f>
        <v/>
      </c>
      <c r="J13" s="4">
        <f>IF(OR(F13="",I13=""),"",IF(ABS(H13)*100&lt;=I13,"OK","Revisar"))</f>
        <v/>
      </c>
      <c r="K13" s="4" t="n"/>
    </row>
    <row r="14">
      <c r="A14" s="4" t="inlineStr">
        <is>
          <t>Caso A · Baja · Agua de enfriamiento</t>
        </is>
      </c>
      <c r="B14" s="4" t="inlineStr">
        <is>
          <t>Tight Shutoff</t>
        </is>
      </c>
      <c r="C14" s="4" t="inlineStr">
        <is>
          <t>Presión diferencial ΔP</t>
        </is>
      </c>
      <c r="D14" s="4" t="inlineStr">
        <is>
          <t>bar</t>
        </is>
      </c>
      <c r="E14" s="4" t="n">
        <v>6.8</v>
      </c>
      <c r="F14" s="5" t="n"/>
      <c r="G14" s="5" t="n"/>
      <c r="H14" s="6">
        <f>IF(F14="","",(F14-E14)/E14)</f>
        <v/>
      </c>
      <c r="I14" s="4">
        <f>IF(Tolerancias!C6="","",Tolerancias!C6)</f>
        <v/>
      </c>
      <c r="J14" s="4">
        <f>IF(OR(F14="",I14=""),"",IF(ABS(H14)*100&lt;=I14,"OK","Revisar"))</f>
        <v/>
      </c>
      <c r="K14" s="4" t="n"/>
    </row>
    <row r="15">
      <c r="A15" s="4" t="inlineStr">
        <is>
          <t>Caso A · Baja · Agua de enfriamiento</t>
        </is>
      </c>
      <c r="B15" s="4" t="inlineStr">
        <is>
          <t>Mínimo</t>
        </is>
      </c>
      <c r="C15" s="4" t="inlineStr">
        <is>
          <t>Apertura estimada</t>
        </is>
      </c>
      <c r="D15" s="4" t="inlineStr">
        <is>
          <t>%</t>
        </is>
      </c>
      <c r="E15" s="4" t="n">
        <v>57.1</v>
      </c>
      <c r="F15" s="5" t="n"/>
      <c r="G15" s="5" t="n"/>
      <c r="H15" s="7">
        <f>IF(F15="","",F15-E15)</f>
        <v/>
      </c>
      <c r="I15" s="4">
        <f>IF(Tolerancias!C7="","",Tolerancias!C7)</f>
        <v/>
      </c>
      <c r="J15" s="4">
        <f>IF(OR(F15="",I15=""),"",IF(ABS(H15)&lt;=I15,"OK","Revisar"))</f>
        <v/>
      </c>
      <c r="K15" s="4" t="n"/>
    </row>
    <row r="16">
      <c r="A16" s="4" t="inlineStr">
        <is>
          <t>Caso A · Baja · Agua de enfriamiento</t>
        </is>
      </c>
      <c r="B16" s="4" t="inlineStr">
        <is>
          <t>Normal</t>
        </is>
      </c>
      <c r="C16" s="4" t="inlineStr">
        <is>
          <t>Apertura estimada</t>
        </is>
      </c>
      <c r="D16" s="4" t="inlineStr">
        <is>
          <t>%</t>
        </is>
      </c>
      <c r="E16" s="4" t="n">
        <v>69.40000000000001</v>
      </c>
      <c r="F16" s="5" t="n"/>
      <c r="G16" s="5" t="n"/>
      <c r="H16" s="7">
        <f>IF(F16="","",F16-E16)</f>
        <v/>
      </c>
      <c r="I16" s="4">
        <f>IF(Tolerancias!C7="","",Tolerancias!C7)</f>
        <v/>
      </c>
      <c r="J16" s="4">
        <f>IF(OR(F16="",I16=""),"",IF(ABS(H16)&lt;=I16,"OK","Revisar"))</f>
        <v/>
      </c>
      <c r="K16" s="4" t="n"/>
    </row>
    <row r="17">
      <c r="A17" s="4" t="inlineStr">
        <is>
          <t>Caso A · Baja · Agua de enfriamiento</t>
        </is>
      </c>
      <c r="B17" s="4" t="inlineStr">
        <is>
          <t>Máximo</t>
        </is>
      </c>
      <c r="C17" s="4" t="inlineStr">
        <is>
          <t>Apertura estimada</t>
        </is>
      </c>
      <c r="D17" s="4" t="inlineStr">
        <is>
          <t>%</t>
        </is>
      </c>
      <c r="E17" s="4" t="n">
        <v>82.09999999999999</v>
      </c>
      <c r="F17" s="5" t="n"/>
      <c r="G17" s="5" t="n"/>
      <c r="H17" s="7">
        <f>IF(F17="","",F17-E17)</f>
        <v/>
      </c>
      <c r="I17" s="4">
        <f>IF(Tolerancias!C7="","",Tolerancias!C7)</f>
        <v/>
      </c>
      <c r="J17" s="4">
        <f>IF(OR(F17="",I17=""),"",IF(ABS(H17)&lt;=I17,"OK","Revisar"))</f>
        <v/>
      </c>
      <c r="K17" s="4" t="n"/>
    </row>
    <row r="18">
      <c r="A18" s="4" t="inlineStr">
        <is>
          <t>Caso A · Baja · Agua de enfriamiento</t>
        </is>
      </c>
      <c r="B18" s="4" t="inlineStr">
        <is>
          <t>Mínimo</t>
        </is>
      </c>
      <c r="C18" s="4" t="inlineStr">
        <is>
          <t>Presión sonora a 1 m (LpAe,1m)</t>
        </is>
      </c>
      <c r="D18" s="4" t="inlineStr">
        <is>
          <t>dB(A)</t>
        </is>
      </c>
      <c r="E18" s="4" t="n">
        <v>59.7</v>
      </c>
      <c r="F18" s="5" t="n"/>
      <c r="G18" s="5" t="n"/>
      <c r="H18" s="7">
        <f>IF(F18="","",F18-E18)</f>
        <v/>
      </c>
      <c r="I18" s="4">
        <f>IF(Tolerancias!C8="","",Tolerancias!C8)</f>
        <v/>
      </c>
      <c r="J18" s="4">
        <f>IF(OR(F18="",I18=""),"",IF(ABS(H18)&lt;=I18,"OK","Revisar"))</f>
        <v/>
      </c>
      <c r="K18" s="4" t="n"/>
    </row>
    <row r="19">
      <c r="A19" s="4" t="inlineStr">
        <is>
          <t>Caso A · Baja · Agua de enfriamiento</t>
        </is>
      </c>
      <c r="B19" s="4" t="inlineStr">
        <is>
          <t>Normal</t>
        </is>
      </c>
      <c r="C19" s="4" t="inlineStr">
        <is>
          <t>Presión sonora a 1 m (LpAe,1m)</t>
        </is>
      </c>
      <c r="D19" s="4" t="inlineStr">
        <is>
          <t>dB(A)</t>
        </is>
      </c>
      <c r="E19" s="4" t="n">
        <v>64.40000000000001</v>
      </c>
      <c r="F19" s="5" t="n"/>
      <c r="G19" s="5" t="n"/>
      <c r="H19" s="7">
        <f>IF(F19="","",F19-E19)</f>
        <v/>
      </c>
      <c r="I19" s="4">
        <f>IF(Tolerancias!C8="","",Tolerancias!C8)</f>
        <v/>
      </c>
      <c r="J19" s="4">
        <f>IF(OR(F19="",I19=""),"",IF(ABS(H19)&lt;=I19,"OK","Revisar"))</f>
        <v/>
      </c>
      <c r="K19" s="4" t="n"/>
    </row>
    <row r="20">
      <c r="A20" s="4" t="inlineStr">
        <is>
          <t>Caso A · Baja · Agua de enfriamiento</t>
        </is>
      </c>
      <c r="B20" s="4" t="inlineStr">
        <is>
          <t>Máximo</t>
        </is>
      </c>
      <c r="C20" s="4" t="inlineStr">
        <is>
          <t>Presión sonora a 1 m (LpAe,1m)</t>
        </is>
      </c>
      <c r="D20" s="4" t="inlineStr">
        <is>
          <t>dB(A)</t>
        </is>
      </c>
      <c r="E20" s="4" t="n">
        <v>67.90000000000001</v>
      </c>
      <c r="F20" s="5" t="n"/>
      <c r="G20" s="5" t="n"/>
      <c r="H20" s="7">
        <f>IF(F20="","",F20-E20)</f>
        <v/>
      </c>
      <c r="I20" s="4">
        <f>IF(Tolerancias!C8="","",Tolerancias!C8)</f>
        <v/>
      </c>
      <c r="J20" s="4">
        <f>IF(OR(F20="",I20=""),"",IF(ABS(H20)&lt;=I20,"OK","Revisar"))</f>
        <v/>
      </c>
      <c r="K20" s="4" t="n"/>
    </row>
    <row r="21">
      <c r="A21" s="4" t="inlineStr">
        <is>
          <t>Caso A · Baja · Agua de enfriamiento</t>
        </is>
      </c>
      <c r="B21" s="4" t="inlineStr">
        <is>
          <t>Mínimo</t>
        </is>
      </c>
      <c r="C21" s="4" t="inlineStr">
        <is>
          <t>Coef. cavitación de la aplicación (Kapp)</t>
        </is>
      </c>
      <c r="D21" s="4" t="inlineStr"/>
      <c r="E21" s="4" t="n">
        <v>0.198</v>
      </c>
      <c r="F21" s="5" t="n"/>
      <c r="G21" s="5" t="n"/>
      <c r="H21" s="6">
        <f>IF(F21="","",(F21-E21)/E21)</f>
        <v/>
      </c>
      <c r="I21" s="4">
        <f>IF(Tolerancias!C13="","",Tolerancias!C13)</f>
        <v/>
      </c>
      <c r="J21" s="4">
        <f>IF(OR(F21="",I21=""),"",IF(ABS(H21)*100&lt;=I21,"OK","Revisar"))</f>
        <v/>
      </c>
      <c r="K21" s="4" t="n"/>
    </row>
    <row r="22">
      <c r="A22" s="4" t="inlineStr">
        <is>
          <t>Caso A · Baja · Agua de enfriamiento</t>
        </is>
      </c>
      <c r="B22" s="4" t="inlineStr">
        <is>
          <t>Normal</t>
        </is>
      </c>
      <c r="C22" s="4" t="inlineStr">
        <is>
          <t>Coef. cavitación de la aplicación (Kapp)</t>
        </is>
      </c>
      <c r="D22" s="4" t="inlineStr"/>
      <c r="E22" s="4" t="n">
        <v>0.209</v>
      </c>
      <c r="F22" s="5" t="n"/>
      <c r="G22" s="5" t="n"/>
      <c r="H22" s="6">
        <f>IF(F22="","",(F22-E22)/E22)</f>
        <v/>
      </c>
      <c r="I22" s="4">
        <f>IF(Tolerancias!C13="","",Tolerancias!C13)</f>
        <v/>
      </c>
      <c r="J22" s="4">
        <f>IF(OR(F22="",I22=""),"",IF(ABS(H22)*100&lt;=I22,"OK","Revisar"))</f>
        <v/>
      </c>
      <c r="K22" s="4" t="n"/>
    </row>
    <row r="23">
      <c r="A23" s="4" t="inlineStr">
        <is>
          <t>Caso A · Baja · Agua de enfriamiento</t>
        </is>
      </c>
      <c r="B23" s="4" t="inlineStr">
        <is>
          <t>Máximo</t>
        </is>
      </c>
      <c r="C23" s="4" t="inlineStr">
        <is>
          <t>Coef. cavitación de la aplicación (Kapp)</t>
        </is>
      </c>
      <c r="D23" s="4" t="inlineStr"/>
      <c r="E23" s="4" t="n">
        <v>0.206</v>
      </c>
      <c r="F23" s="5" t="n"/>
      <c r="G23" s="5" t="n"/>
      <c r="H23" s="6">
        <f>IF(F23="","",(F23-E23)/E23)</f>
        <v/>
      </c>
      <c r="I23" s="4">
        <f>IF(Tolerancias!C13="","",Tolerancias!C13)</f>
        <v/>
      </c>
      <c r="J23" s="4">
        <f>IF(OR(F23="",I23=""),"",IF(ABS(H23)*100&lt;=I23,"OK","Revisar"))</f>
        <v/>
      </c>
      <c r="K23" s="4" t="n"/>
    </row>
    <row r="24">
      <c r="A24" s="4" t="inlineStr">
        <is>
          <t>Caso A · Baja · Agua de enfriamiento</t>
        </is>
      </c>
      <c r="B24" s="4" t="inlineStr">
        <is>
          <t>Mínimo</t>
        </is>
      </c>
      <c r="C24" s="4" t="inlineStr">
        <is>
          <t>Inicio de cavitación incipiente (xFzp1)</t>
        </is>
      </c>
      <c r="D24" s="4" t="inlineStr"/>
      <c r="E24" s="4" t="n">
        <v>0.14</v>
      </c>
      <c r="F24" s="5" t="n"/>
      <c r="G24" s="5" t="n"/>
      <c r="H24" s="6">
        <f>IF(F24="","",(F24-E24)/E24)</f>
        <v/>
      </c>
      <c r="I24" s="4">
        <f>IF(Tolerancias!C14="","",Tolerancias!C14)</f>
        <v/>
      </c>
      <c r="J24" s="4">
        <f>IF(OR(F24="",I24=""),"",IF(ABS(H24)*100&lt;=I24,"OK","Revisar"))</f>
        <v/>
      </c>
      <c r="K24" s="4" t="n"/>
    </row>
    <row r="25">
      <c r="A25" s="4" t="inlineStr">
        <is>
          <t>Caso A · Baja · Agua de enfriamiento</t>
        </is>
      </c>
      <c r="B25" s="4" t="inlineStr">
        <is>
          <t>Normal</t>
        </is>
      </c>
      <c r="C25" s="4" t="inlineStr">
        <is>
          <t>Inicio de cavitación incipiente (xFzp1)</t>
        </is>
      </c>
      <c r="D25" s="4" t="inlineStr"/>
      <c r="E25" s="4" t="n">
        <v>0.128</v>
      </c>
      <c r="F25" s="5" t="n"/>
      <c r="G25" s="5" t="n"/>
      <c r="H25" s="6">
        <f>IF(F25="","",(F25-E25)/E25)</f>
        <v/>
      </c>
      <c r="I25" s="4">
        <f>IF(Tolerancias!C14="","",Tolerancias!C14)</f>
        <v/>
      </c>
      <c r="J25" s="4">
        <f>IF(OR(F25="",I25=""),"",IF(ABS(H25)*100&lt;=I25,"OK","Revisar"))</f>
        <v/>
      </c>
      <c r="K25" s="4" t="n"/>
    </row>
    <row r="26">
      <c r="A26" s="4" t="inlineStr">
        <is>
          <t>Caso A · Baja · Agua de enfriamiento</t>
        </is>
      </c>
      <c r="B26" s="4" t="inlineStr">
        <is>
          <t>Máximo</t>
        </is>
      </c>
      <c r="C26" s="4" t="inlineStr">
        <is>
          <t>Inicio de cavitación incipiente (xFzp1)</t>
        </is>
      </c>
      <c r="D26" s="4" t="inlineStr"/>
      <c r="E26" s="4" t="n">
        <v>0.116</v>
      </c>
      <c r="F26" s="5" t="n"/>
      <c r="G26" s="5" t="n"/>
      <c r="H26" s="6">
        <f>IF(F26="","",(F26-E26)/E26)</f>
        <v/>
      </c>
      <c r="I26" s="4">
        <f>IF(Tolerancias!C14="","",Tolerancias!C14)</f>
        <v/>
      </c>
      <c r="J26" s="4">
        <f>IF(OR(F26="",I26=""),"",IF(ABS(H26)*100&lt;=I26,"OK","Revisar"))</f>
        <v/>
      </c>
      <c r="K26" s="4" t="n"/>
    </row>
    <row r="27">
      <c r="A27" s="4" t="inlineStr">
        <is>
          <t>Caso A · Baja · Agua de enfriamiento</t>
        </is>
      </c>
      <c r="B27" s="4" t="inlineStr">
        <is>
          <t>Mínimo</t>
        </is>
      </c>
      <c r="C27" s="4" t="inlineStr">
        <is>
          <t>Factor de recuperación combinado (FLp)</t>
        </is>
      </c>
      <c r="D27" s="4" t="inlineStr"/>
      <c r="E27" s="4" t="n">
        <v>0.662</v>
      </c>
      <c r="F27" s="5" t="n"/>
      <c r="G27" s="5" t="n"/>
      <c r="H27" s="6">
        <f>IF(F27="","",(F27-E27)/E27)</f>
        <v/>
      </c>
      <c r="I27" s="4">
        <f>IF(Tolerancias!C15="","",Tolerancias!C15)</f>
        <v/>
      </c>
      <c r="J27" s="4">
        <f>IF(OR(F27="",I27=""),"",IF(ABS(H27)*100&lt;=I27,"OK","Revisar"))</f>
        <v/>
      </c>
      <c r="K27" s="4" t="n"/>
    </row>
    <row r="28">
      <c r="A28" s="4" t="inlineStr">
        <is>
          <t>Caso A · Baja · Agua de enfriamiento</t>
        </is>
      </c>
      <c r="B28" s="4" t="inlineStr">
        <is>
          <t>Normal</t>
        </is>
      </c>
      <c r="C28" s="4" t="inlineStr">
        <is>
          <t>Factor de recuperación combinado (FLp)</t>
        </is>
      </c>
      <c r="D28" s="4" t="inlineStr"/>
      <c r="E28" s="4" t="n">
        <v>0.653</v>
      </c>
      <c r="F28" s="5" t="n"/>
      <c r="G28" s="5" t="n"/>
      <c r="H28" s="6">
        <f>IF(F28="","",(F28-E28)/E28)</f>
        <v/>
      </c>
      <c r="I28" s="4">
        <f>IF(Tolerancias!C15="","",Tolerancias!C15)</f>
        <v/>
      </c>
      <c r="J28" s="4">
        <f>IF(OR(F28="",I28=""),"",IF(ABS(H28)*100&lt;=I28,"OK","Revisar"))</f>
        <v/>
      </c>
      <c r="K28" s="4" t="n"/>
    </row>
    <row r="29">
      <c r="A29" s="4" t="inlineStr">
        <is>
          <t>Caso A · Baja · Agua de enfriamiento</t>
        </is>
      </c>
      <c r="B29" s="4" t="inlineStr">
        <is>
          <t>Máximo</t>
        </is>
      </c>
      <c r="C29" s="4" t="inlineStr">
        <is>
          <t>Factor de recuperación combinado (FLp)</t>
        </is>
      </c>
      <c r="D29" s="4" t="inlineStr"/>
      <c r="E29" s="4" t="n">
        <v>0.631</v>
      </c>
      <c r="F29" s="5" t="n"/>
      <c r="G29" s="5" t="n"/>
      <c r="H29" s="6">
        <f>IF(F29="","",(F29-E29)/E29)</f>
        <v/>
      </c>
      <c r="I29" s="4">
        <f>IF(Tolerancias!C15="","",Tolerancias!C15)</f>
        <v/>
      </c>
      <c r="J29" s="4">
        <f>IF(OR(F29="",I29=""),"",IF(ABS(H29)*100&lt;=I29,"OK","Revisar"))</f>
        <v/>
      </c>
      <c r="K29" s="4" t="n"/>
    </row>
    <row r="30">
      <c r="A30" s="4" t="inlineStr">
        <is>
          <t>Caso A · Baja · Agua de enfriamiento</t>
        </is>
      </c>
      <c r="B30" s="4" t="inlineStr">
        <is>
          <t>Mínimo</t>
        </is>
      </c>
      <c r="C30" s="4" t="inlineStr">
        <is>
          <t>ΔP para cavitación (ΔP cav)</t>
        </is>
      </c>
      <c r="D30" s="4" t="inlineStr">
        <is>
          <t>bar</t>
        </is>
      </c>
      <c r="E30" s="4" t="n">
        <v>1.948</v>
      </c>
      <c r="F30" s="5" t="n"/>
      <c r="G30" s="5" t="n"/>
      <c r="H30" s="6">
        <f>IF(F30="","",(F30-E30)/E30)</f>
        <v/>
      </c>
      <c r="I30" s="4">
        <f>IF(Tolerancias!C16="","",Tolerancias!C16)</f>
        <v/>
      </c>
      <c r="J30" s="4">
        <f>IF(OR(F30="",I30=""),"",IF(ABS(H30)*100&lt;=I30,"OK","Revisar"))</f>
        <v/>
      </c>
      <c r="K30" s="4" t="n"/>
    </row>
    <row r="31">
      <c r="A31" s="4" t="inlineStr">
        <is>
          <t>Caso A · Baja · Agua de enfriamiento</t>
        </is>
      </c>
      <c r="B31" s="4" t="inlineStr">
        <is>
          <t>Normal</t>
        </is>
      </c>
      <c r="C31" s="4" t="inlineStr">
        <is>
          <t>ΔP para cavitación (ΔP cav)</t>
        </is>
      </c>
      <c r="D31" s="4" t="inlineStr">
        <is>
          <t>bar</t>
        </is>
      </c>
      <c r="E31" s="4" t="n">
        <v>1.843</v>
      </c>
      <c r="F31" s="5" t="n"/>
      <c r="G31" s="5" t="n"/>
      <c r="H31" s="6">
        <f>IF(F31="","",(F31-E31)/E31)</f>
        <v/>
      </c>
      <c r="I31" s="4">
        <f>IF(Tolerancias!C16="","",Tolerancias!C16)</f>
        <v/>
      </c>
      <c r="J31" s="4">
        <f>IF(OR(F31="",I31=""),"",IF(ABS(H31)*100&lt;=I31,"OK","Revisar"))</f>
        <v/>
      </c>
      <c r="K31" s="4" t="n"/>
    </row>
    <row r="32">
      <c r="A32" s="4" t="inlineStr">
        <is>
          <t>Caso A · Baja · Agua de enfriamiento</t>
        </is>
      </c>
      <c r="B32" s="4" t="inlineStr">
        <is>
          <t>Máximo</t>
        </is>
      </c>
      <c r="C32" s="4" t="inlineStr">
        <is>
          <t>ΔP para cavitación (ΔP cav)</t>
        </is>
      </c>
      <c r="D32" s="4" t="inlineStr">
        <is>
          <t>bar</t>
        </is>
      </c>
      <c r="E32" s="4" t="n">
        <v>1.7</v>
      </c>
      <c r="F32" s="5" t="n"/>
      <c r="G32" s="5" t="n"/>
      <c r="H32" s="6">
        <f>IF(F32="","",(F32-E32)/E32)</f>
        <v/>
      </c>
      <c r="I32" s="4">
        <f>IF(Tolerancias!C16="","",Tolerancias!C16)</f>
        <v/>
      </c>
      <c r="J32" s="4">
        <f>IF(OR(F32="",I32=""),"",IF(ABS(H32)*100&lt;=I32,"OK","Revisar"))</f>
        <v/>
      </c>
      <c r="K32" s="4" t="n"/>
    </row>
    <row r="33">
      <c r="A33" s="4" t="inlineStr">
        <is>
          <t>Caso A · Baja · Agua de enfriamiento</t>
        </is>
      </c>
      <c r="B33" s="4" t="inlineStr">
        <is>
          <t>Mínimo</t>
        </is>
      </c>
      <c r="C33" s="4" t="inlineStr">
        <is>
          <t>Densidad de entrada ρ1</t>
        </is>
      </c>
      <c r="D33" s="4" t="inlineStr">
        <is>
          <t>kg/m³</t>
        </is>
      </c>
      <c r="E33" s="4" t="n">
        <v>995.2</v>
      </c>
      <c r="F33" s="5" t="n"/>
      <c r="G33" s="5" t="n"/>
      <c r="H33" s="6">
        <f>IF(F33="","",(F33-E33)/E33)</f>
        <v/>
      </c>
      <c r="I33" s="4">
        <f>IF(Tolerancias!C17="","",Tolerancias!C17)</f>
        <v/>
      </c>
      <c r="J33" s="4">
        <f>IF(OR(F33="",I33=""),"",IF(ABS(H33)*100&lt;=I33,"OK","Revisar"))</f>
        <v/>
      </c>
      <c r="K33" s="4" t="n"/>
    </row>
    <row r="34">
      <c r="A34" s="4" t="inlineStr">
        <is>
          <t>Caso A · Baja · Agua de enfriamiento</t>
        </is>
      </c>
      <c r="B34" s="4" t="inlineStr">
        <is>
          <t>Normal</t>
        </is>
      </c>
      <c r="C34" s="4" t="inlineStr">
        <is>
          <t>Densidad de entrada ρ1</t>
        </is>
      </c>
      <c r="D34" s="4" t="inlineStr">
        <is>
          <t>kg/m³</t>
        </is>
      </c>
      <c r="E34" s="4" t="n">
        <v>995.2</v>
      </c>
      <c r="F34" s="5" t="n"/>
      <c r="G34" s="5" t="n"/>
      <c r="H34" s="6">
        <f>IF(F34="","",(F34-E34)/E34)</f>
        <v/>
      </c>
      <c r="I34" s="4">
        <f>IF(Tolerancias!C17="","",Tolerancias!C17)</f>
        <v/>
      </c>
      <c r="J34" s="4">
        <f>IF(OR(F34="",I34=""),"",IF(ABS(H34)*100&lt;=I34,"OK","Revisar"))</f>
        <v/>
      </c>
      <c r="K34" s="4" t="n"/>
    </row>
    <row r="35">
      <c r="A35" s="4" t="inlineStr">
        <is>
          <t>Caso A · Baja · Agua de enfriamiento</t>
        </is>
      </c>
      <c r="B35" s="4" t="inlineStr">
        <is>
          <t>Máximo</t>
        </is>
      </c>
      <c r="C35" s="4" t="inlineStr">
        <is>
          <t>Densidad de entrada ρ1</t>
        </is>
      </c>
      <c r="D35" s="4" t="inlineStr">
        <is>
          <t>kg/m³</t>
        </is>
      </c>
      <c r="E35" s="4" t="n">
        <v>994.2</v>
      </c>
      <c r="F35" s="5" t="n"/>
      <c r="G35" s="5" t="n"/>
      <c r="H35" s="6">
        <f>IF(F35="","",(F35-E35)/E35)</f>
        <v/>
      </c>
      <c r="I35" s="4">
        <f>IF(Tolerancias!C17="","",Tolerancias!C17)</f>
        <v/>
      </c>
      <c r="J35" s="4">
        <f>IF(OR(F35="",I35=""),"",IF(ABS(H35)*100&lt;=I35,"OK","Revisar"))</f>
        <v/>
      </c>
      <c r="K35" s="4" t="n"/>
    </row>
    <row r="36">
      <c r="A36" s="4" t="inlineStr">
        <is>
          <t>Caso A · Baja · Agua de enfriamiento</t>
        </is>
      </c>
      <c r="B36" s="4" t="inlineStr">
        <is>
          <t>Mínimo</t>
        </is>
      </c>
      <c r="C36" s="4" t="inlineStr">
        <is>
          <t>Velocidad del fluido aguas arriba</t>
        </is>
      </c>
      <c r="D36" s="4" t="inlineStr">
        <is>
          <t>m/s</t>
        </is>
      </c>
      <c r="E36" s="4" t="n">
        <v>1.52</v>
      </c>
      <c r="F36" s="5" t="n"/>
      <c r="G36" s="5" t="n"/>
      <c r="H36" s="6">
        <f>IF(F36="","",(F36-E36)/E36)</f>
        <v/>
      </c>
      <c r="I36" s="4">
        <f>IF(Tolerancias!C20="","",Tolerancias!C20)</f>
        <v/>
      </c>
      <c r="J36" s="4">
        <f>IF(OR(F36="",I36=""),"",IF(ABS(H36)*100&lt;=I36,"OK","Revisar"))</f>
        <v/>
      </c>
      <c r="K36" s="4" t="n"/>
    </row>
    <row r="37">
      <c r="A37" s="4" t="inlineStr">
        <is>
          <t>Caso A · Baja · Agua de enfriamiento</t>
        </is>
      </c>
      <c r="B37" s="4" t="inlineStr">
        <is>
          <t>Normal</t>
        </is>
      </c>
      <c r="C37" s="4" t="inlineStr">
        <is>
          <t>Velocidad del fluido aguas arriba</t>
        </is>
      </c>
      <c r="D37" s="4" t="inlineStr">
        <is>
          <t>m/s</t>
        </is>
      </c>
      <c r="E37" s="4" t="n">
        <v>2.29</v>
      </c>
      <c r="F37" s="5" t="n"/>
      <c r="G37" s="5" t="n"/>
      <c r="H37" s="6">
        <f>IF(F37="","",(F37-E37)/E37)</f>
        <v/>
      </c>
      <c r="I37" s="4">
        <f>IF(Tolerancias!C20="","",Tolerancias!C20)</f>
        <v/>
      </c>
      <c r="J37" s="4">
        <f>IF(OR(F37="",I37=""),"",IF(ABS(H37)*100&lt;=I37,"OK","Revisar"))</f>
        <v/>
      </c>
      <c r="K37" s="4" t="n"/>
    </row>
    <row r="38">
      <c r="A38" s="4" t="inlineStr">
        <is>
          <t>Caso A · Baja · Agua de enfriamiento</t>
        </is>
      </c>
      <c r="B38" s="4" t="inlineStr">
        <is>
          <t>Máximo</t>
        </is>
      </c>
      <c r="C38" s="4" t="inlineStr">
        <is>
          <t>Velocidad del fluido aguas arriba</t>
        </is>
      </c>
      <c r="D38" s="4" t="inlineStr">
        <is>
          <t>m/s</t>
        </is>
      </c>
      <c r="E38" s="4" t="n">
        <v>3.24</v>
      </c>
      <c r="F38" s="5" t="n"/>
      <c r="G38" s="5" t="n"/>
      <c r="H38" s="6">
        <f>IF(F38="","",(F38-E38)/E38)</f>
        <v/>
      </c>
      <c r="I38" s="4">
        <f>IF(Tolerancias!C20="","",Tolerancias!C20)</f>
        <v/>
      </c>
      <c r="J38" s="4">
        <f>IF(OR(F38="",I38=""),"",IF(ABS(H38)*100&lt;=I38,"OK","Revisar"))</f>
        <v/>
      </c>
      <c r="K38" s="4" t="n"/>
    </row>
    <row r="39">
      <c r="A39" s="4" t="inlineStr">
        <is>
          <t>Caso A · Baja · Agua de enfriamiento</t>
        </is>
      </c>
      <c r="B39" s="4" t="inlineStr">
        <is>
          <t>Mínimo</t>
        </is>
      </c>
      <c r="C39" s="4" t="inlineStr">
        <is>
          <t>Velocidad del fluido aguas abajo</t>
        </is>
      </c>
      <c r="D39" s="4" t="inlineStr">
        <is>
          <t>m/s</t>
        </is>
      </c>
      <c r="E39" s="4" t="n">
        <v>1.52</v>
      </c>
      <c r="F39" s="5" t="n"/>
      <c r="G39" s="5" t="n"/>
      <c r="H39" s="6">
        <f>IF(F39="","",(F39-E39)/E39)</f>
        <v/>
      </c>
      <c r="I39" s="4">
        <f>IF(Tolerancias!C21="","",Tolerancias!C21)</f>
        <v/>
      </c>
      <c r="J39" s="4">
        <f>IF(OR(F39="",I39=""),"",IF(ABS(H39)*100&lt;=I39,"OK","Revisar"))</f>
        <v/>
      </c>
      <c r="K39" s="4" t="n"/>
    </row>
    <row r="40">
      <c r="A40" s="4" t="inlineStr">
        <is>
          <t>Caso A · Baja · Agua de enfriamiento</t>
        </is>
      </c>
      <c r="B40" s="4" t="inlineStr">
        <is>
          <t>Normal</t>
        </is>
      </c>
      <c r="C40" s="4" t="inlineStr">
        <is>
          <t>Velocidad del fluido aguas abajo</t>
        </is>
      </c>
      <c r="D40" s="4" t="inlineStr">
        <is>
          <t>m/s</t>
        </is>
      </c>
      <c r="E40" s="4" t="n">
        <v>2.29</v>
      </c>
      <c r="F40" s="5" t="n"/>
      <c r="G40" s="5" t="n"/>
      <c r="H40" s="6">
        <f>IF(F40="","",(F40-E40)/E40)</f>
        <v/>
      </c>
      <c r="I40" s="4">
        <f>IF(Tolerancias!C21="","",Tolerancias!C21)</f>
        <v/>
      </c>
      <c r="J40" s="4">
        <f>IF(OR(F40="",I40=""),"",IF(ABS(H40)*100&lt;=I40,"OK","Revisar"))</f>
        <v/>
      </c>
      <c r="K40" s="4" t="n"/>
    </row>
    <row r="41">
      <c r="A41" s="4" t="inlineStr">
        <is>
          <t>Caso A · Baja · Agua de enfriamiento</t>
        </is>
      </c>
      <c r="B41" s="4" t="inlineStr">
        <is>
          <t>Máximo</t>
        </is>
      </c>
      <c r="C41" s="4" t="inlineStr">
        <is>
          <t>Velocidad del fluido aguas abajo</t>
        </is>
      </c>
      <c r="D41" s="4" t="inlineStr">
        <is>
          <t>m/s</t>
        </is>
      </c>
      <c r="E41" s="4" t="n">
        <v>3.24</v>
      </c>
      <c r="F41" s="5" t="n"/>
      <c r="G41" s="5" t="n"/>
      <c r="H41" s="6">
        <f>IF(F41="","",(F41-E41)/E41)</f>
        <v/>
      </c>
      <c r="I41" s="4">
        <f>IF(Tolerancias!C21="","",Tolerancias!C21)</f>
        <v/>
      </c>
      <c r="J41" s="4">
        <f>IF(OR(F41="",I41=""),"",IF(ABS(H41)*100&lt;=I41,"OK","Revisar"))</f>
        <v/>
      </c>
      <c r="K41" s="4" t="n"/>
    </row>
    <row r="42">
      <c r="A42" s="4" t="inlineStr">
        <is>
          <t>Caso A · Baja · Agua de enfriamiento</t>
        </is>
      </c>
      <c r="B42" s="4" t="inlineStr">
        <is>
          <t>Mínimo</t>
        </is>
      </c>
      <c r="C42" s="4" t="inlineStr">
        <is>
          <t>Número de Reynolds (Rev)</t>
        </is>
      </c>
      <c r="D42" s="4" t="inlineStr"/>
      <c r="E42" s="4" t="n">
        <v>1307595</v>
      </c>
      <c r="F42" s="5" t="n"/>
      <c r="G42" s="5" t="n"/>
      <c r="H42" s="6">
        <f>IF(F42="","",(F42-E42)/E42)</f>
        <v/>
      </c>
      <c r="I42" s="4">
        <f>IF(Tolerancias!C23="","",Tolerancias!C23)</f>
        <v/>
      </c>
      <c r="J42" s="4">
        <f>IF(OR(F42="",I42=""),"",IF(ABS(H42)*100&lt;=I42,"OK","Revisar"))</f>
        <v/>
      </c>
      <c r="K42" s="4" t="n"/>
    </row>
    <row r="43">
      <c r="A43" s="4" t="inlineStr">
        <is>
          <t>Caso A · Baja · Agua de enfriamiento</t>
        </is>
      </c>
      <c r="B43" s="4" t="inlineStr">
        <is>
          <t>Normal</t>
        </is>
      </c>
      <c r="C43" s="4" t="inlineStr">
        <is>
          <t>Número de Reynolds (Rev)</t>
        </is>
      </c>
      <c r="D43" s="4" t="inlineStr"/>
      <c r="E43" s="4" t="n">
        <v>1591217</v>
      </c>
      <c r="F43" s="5" t="n"/>
      <c r="G43" s="5" t="n"/>
      <c r="H43" s="6">
        <f>IF(F43="","",(F43-E43)/E43)</f>
        <v/>
      </c>
      <c r="I43" s="4">
        <f>IF(Tolerancias!C23="","",Tolerancias!C23)</f>
        <v/>
      </c>
      <c r="J43" s="4">
        <f>IF(OR(F43="",I43=""),"",IF(ABS(H43)*100&lt;=I43,"OK","Revisar"))</f>
        <v/>
      </c>
      <c r="K43" s="4" t="n"/>
    </row>
    <row r="44">
      <c r="A44" s="4" t="inlineStr">
        <is>
          <t>Caso A · Baja · Agua de enfriamiento</t>
        </is>
      </c>
      <c r="B44" s="4" t="inlineStr">
        <is>
          <t>Máximo</t>
        </is>
      </c>
      <c r="C44" s="4" t="inlineStr">
        <is>
          <t>Número de Reynolds (Rev)</t>
        </is>
      </c>
      <c r="D44" s="4" t="inlineStr"/>
      <c r="E44" s="4" t="n">
        <v>1935933</v>
      </c>
      <c r="F44" s="5" t="n"/>
      <c r="G44" s="5" t="n"/>
      <c r="H44" s="6">
        <f>IF(F44="","",(F44-E44)/E44)</f>
        <v/>
      </c>
      <c r="I44" s="4">
        <f>IF(Tolerancias!C23="","",Tolerancias!C23)</f>
        <v/>
      </c>
      <c r="J44" s="4">
        <f>IF(OR(F44="",I44=""),"",IF(ABS(H44)*100&lt;=I44,"OK","Revisar"))</f>
        <v/>
      </c>
      <c r="K44" s="4" t="n"/>
    </row>
    <row r="45">
      <c r="A45" s="4" t="inlineStr">
        <is>
          <t>Caso B · Media · Vapor sobrecalentado</t>
        </is>
      </c>
      <c r="B45" s="4" t="inlineStr">
        <is>
          <t>Mínimo</t>
        </is>
      </c>
      <c r="C45" s="4" t="inlineStr">
        <is>
          <t>Coeficiente de flujo (Cv)</t>
        </is>
      </c>
      <c r="D45" s="4" t="inlineStr"/>
      <c r="E45" s="4" t="n">
        <v>22.3</v>
      </c>
      <c r="F45" s="5" t="n"/>
      <c r="G45" s="5" t="n"/>
      <c r="H45" s="6">
        <f>IF(F45="","",(F45-E45)/E45)</f>
        <v/>
      </c>
      <c r="I45" s="4">
        <f>IF(Tolerancias!C2="","",Tolerancias!C2)</f>
        <v/>
      </c>
      <c r="J45" s="4">
        <f>IF(OR(F45="",I45=""),"",IF(ABS(H45)*100&lt;=I45,"OK","Revisar"))</f>
        <v/>
      </c>
      <c r="K45" s="4" t="n"/>
    </row>
    <row r="46">
      <c r="A46" s="4" t="inlineStr">
        <is>
          <t>Caso B · Media · Vapor sobrecalentado</t>
        </is>
      </c>
      <c r="B46" s="4" t="inlineStr">
        <is>
          <t>Normal</t>
        </is>
      </c>
      <c r="C46" s="4" t="inlineStr">
        <is>
          <t>Coeficiente de flujo (Cv)</t>
        </is>
      </c>
      <c r="D46" s="4" t="inlineStr"/>
      <c r="E46" s="4" t="n">
        <v>34.6</v>
      </c>
      <c r="F46" s="5" t="n"/>
      <c r="G46" s="5" t="n"/>
      <c r="H46" s="6">
        <f>IF(F46="","",(F46-E46)/E46)</f>
        <v/>
      </c>
      <c r="I46" s="4">
        <f>IF(Tolerancias!C2="","",Tolerancias!C2)</f>
        <v/>
      </c>
      <c r="J46" s="4">
        <f>IF(OR(F46="",I46=""),"",IF(ABS(H46)*100&lt;=I46,"OK","Revisar"))</f>
        <v/>
      </c>
      <c r="K46" s="4" t="n"/>
    </row>
    <row r="47">
      <c r="A47" s="4" t="inlineStr">
        <is>
          <t>Caso B · Media · Vapor sobrecalentado</t>
        </is>
      </c>
      <c r="B47" s="4" t="inlineStr">
        <is>
          <t>Máximo</t>
        </is>
      </c>
      <c r="C47" s="4" t="inlineStr">
        <is>
          <t>Coeficiente de flujo (Cv)</t>
        </is>
      </c>
      <c r="D47" s="4" t="inlineStr"/>
      <c r="E47" s="4" t="n">
        <v>54.05</v>
      </c>
      <c r="F47" s="5" t="n"/>
      <c r="G47" s="5" t="n"/>
      <c r="H47" s="6">
        <f>IF(F47="","",(F47-E47)/E47)</f>
        <v/>
      </c>
      <c r="I47" s="4">
        <f>IF(Tolerancias!C2="","",Tolerancias!C2)</f>
        <v/>
      </c>
      <c r="J47" s="4">
        <f>IF(OR(F47="",I47=""),"",IF(ABS(H47)*100&lt;=I47,"OK","Revisar"))</f>
        <v/>
      </c>
      <c r="K47" s="4" t="n"/>
    </row>
    <row r="48">
      <c r="A48" s="4" t="inlineStr">
        <is>
          <t>Caso B · Media · Vapor sobrecalentado</t>
        </is>
      </c>
      <c r="B48" s="4" t="inlineStr">
        <is>
          <t>Mínimo</t>
        </is>
      </c>
      <c r="C48" s="4" t="inlineStr">
        <is>
          <t>Factor de expansión (Y)</t>
        </is>
      </c>
      <c r="D48" s="4" t="inlineStr"/>
      <c r="E48" s="4" t="n">
        <v>0.758</v>
      </c>
      <c r="F48" s="5" t="n"/>
      <c r="G48" s="5" t="n"/>
      <c r="H48" s="6">
        <f>IF(F48="","",(F48-E48)/E48)</f>
        <v/>
      </c>
      <c r="I48" s="4">
        <f>IF(Tolerancias!C3="","",Tolerancias!C3)</f>
        <v/>
      </c>
      <c r="J48" s="4">
        <f>IF(OR(F48="",I48=""),"",IF(ABS(H48)*100&lt;=I48,"OK","Revisar"))</f>
        <v/>
      </c>
      <c r="K48" s="4" t="n"/>
    </row>
    <row r="49">
      <c r="A49" s="4" t="inlineStr">
        <is>
          <t>Caso B · Media · Vapor sobrecalentado</t>
        </is>
      </c>
      <c r="B49" s="4" t="inlineStr">
        <is>
          <t>Normal</t>
        </is>
      </c>
      <c r="C49" s="4" t="inlineStr">
        <is>
          <t>Factor de expansión (Y)</t>
        </is>
      </c>
      <c r="D49" s="4" t="inlineStr"/>
      <c r="E49" s="4" t="n">
        <v>0.764</v>
      </c>
      <c r="F49" s="5" t="n"/>
      <c r="G49" s="5" t="n"/>
      <c r="H49" s="6">
        <f>IF(F49="","",(F49-E49)/E49)</f>
        <v/>
      </c>
      <c r="I49" s="4">
        <f>IF(Tolerancias!C3="","",Tolerancias!C3)</f>
        <v/>
      </c>
      <c r="J49" s="4">
        <f>IF(OR(F49="",I49=""),"",IF(ABS(H49)*100&lt;=I49,"OK","Revisar"))</f>
        <v/>
      </c>
      <c r="K49" s="4" t="n"/>
    </row>
    <row r="50">
      <c r="A50" s="4" t="inlineStr">
        <is>
          <t>Caso B · Media · Vapor sobrecalentado</t>
        </is>
      </c>
      <c r="B50" s="4" t="inlineStr">
        <is>
          <t>Máximo</t>
        </is>
      </c>
      <c r="C50" s="4" t="inlineStr">
        <is>
          <t>Factor de expansión (Y)</t>
        </is>
      </c>
      <c r="D50" s="4" t="inlineStr"/>
      <c r="E50" s="4" t="n">
        <v>0.771</v>
      </c>
      <c r="F50" s="5" t="n"/>
      <c r="G50" s="5" t="n"/>
      <c r="H50" s="6">
        <f>IF(F50="","",(F50-E50)/E50)</f>
        <v/>
      </c>
      <c r="I50" s="4">
        <f>IF(Tolerancias!C3="","",Tolerancias!C3)</f>
        <v/>
      </c>
      <c r="J50" s="4">
        <f>IF(OR(F50="",I50=""),"",IF(ABS(H50)*100&lt;=I50,"OK","Revisar"))</f>
        <v/>
      </c>
      <c r="K50" s="4" t="n"/>
    </row>
    <row r="51">
      <c r="A51" s="4" t="inlineStr">
        <is>
          <t>Caso B · Media · Vapor sobrecalentado</t>
        </is>
      </c>
      <c r="B51" s="4" t="inlineStr">
        <is>
          <t>Mínimo</t>
        </is>
      </c>
      <c r="C51" s="4" t="inlineStr">
        <is>
          <t>ΔP crítica de flujo estrangulado (ΔP choked)</t>
        </is>
      </c>
      <c r="D51" s="4" t="inlineStr">
        <is>
          <t>bar</t>
        </is>
      </c>
      <c r="E51" s="4" t="n">
        <v>28.95</v>
      </c>
      <c r="F51" s="5" t="n"/>
      <c r="G51" s="5" t="n"/>
      <c r="H51" s="6">
        <f>IF(F51="","",(F51-E51)/E51)</f>
        <v/>
      </c>
      <c r="I51" s="4">
        <f>IF(Tolerancias!C4="","",Tolerancias!C4)</f>
        <v/>
      </c>
      <c r="J51" s="4">
        <f>IF(OR(F51="",I51=""),"",IF(ABS(H51)*100&lt;=I51,"OK","Revisar"))</f>
        <v/>
      </c>
      <c r="K51" s="4" t="n"/>
    </row>
    <row r="52">
      <c r="A52" s="4" t="inlineStr">
        <is>
          <t>Caso B · Media · Vapor sobrecalentado</t>
        </is>
      </c>
      <c r="B52" s="4" t="inlineStr">
        <is>
          <t>Normal</t>
        </is>
      </c>
      <c r="C52" s="4" t="inlineStr">
        <is>
          <t>ΔP crítica de flujo estrangulado (ΔP choked)</t>
        </is>
      </c>
      <c r="D52" s="4" t="inlineStr">
        <is>
          <t>bar</t>
        </is>
      </c>
      <c r="E52" s="4" t="n">
        <v>28.3</v>
      </c>
      <c r="F52" s="5" t="n"/>
      <c r="G52" s="5" t="n"/>
      <c r="H52" s="6">
        <f>IF(F52="","",(F52-E52)/E52)</f>
        <v/>
      </c>
      <c r="I52" s="4">
        <f>IF(Tolerancias!C4="","",Tolerancias!C4)</f>
        <v/>
      </c>
      <c r="J52" s="4">
        <f>IF(OR(F52="",I52=""),"",IF(ABS(H52)*100&lt;=I52,"OK","Revisar"))</f>
        <v/>
      </c>
      <c r="K52" s="4" t="n"/>
    </row>
    <row r="53">
      <c r="A53" s="4" t="inlineStr">
        <is>
          <t>Caso B · Media · Vapor sobrecalentado</t>
        </is>
      </c>
      <c r="B53" s="4" t="inlineStr">
        <is>
          <t>Máximo</t>
        </is>
      </c>
      <c r="C53" s="4" t="inlineStr">
        <is>
          <t>ΔP crítica de flujo estrangulado (ΔP choked)</t>
        </is>
      </c>
      <c r="D53" s="4" t="inlineStr">
        <is>
          <t>bar</t>
        </is>
      </c>
      <c r="E53" s="4" t="n">
        <v>27.71</v>
      </c>
      <c r="F53" s="5" t="n"/>
      <c r="G53" s="5" t="n"/>
      <c r="H53" s="6">
        <f>IF(F53="","",(F53-E53)/E53)</f>
        <v/>
      </c>
      <c r="I53" s="4">
        <f>IF(Tolerancias!C4="","",Tolerancias!C4)</f>
        <v/>
      </c>
      <c r="J53" s="4">
        <f>IF(OR(F53="",I53=""),"",IF(ABS(H53)*100&lt;=I53,"OK","Revisar"))</f>
        <v/>
      </c>
      <c r="K53" s="4" t="n"/>
    </row>
    <row r="54">
      <c r="A54" s="4" t="inlineStr">
        <is>
          <t>Caso B · Media · Vapor sobrecalentado</t>
        </is>
      </c>
      <c r="B54" s="4" t="inlineStr">
        <is>
          <t>Mínimo</t>
        </is>
      </c>
      <c r="C54" s="4" t="inlineStr">
        <is>
          <t>Factor de corrección por tuberías (Fp)</t>
        </is>
      </c>
      <c r="D54" s="4" t="inlineStr"/>
      <c r="E54" s="4" t="n">
        <v>0.997</v>
      </c>
      <c r="F54" s="5" t="n"/>
      <c r="G54" s="5" t="n"/>
      <c r="H54" s="6">
        <f>IF(F54="","",(F54-E54)/E54)</f>
        <v/>
      </c>
      <c r="I54" s="4">
        <f>IF(Tolerancias!C5="","",Tolerancias!C5)</f>
        <v/>
      </c>
      <c r="J54" s="4">
        <f>IF(OR(F54="",I54=""),"",IF(ABS(H54)*100&lt;=I54,"OK","Revisar"))</f>
        <v/>
      </c>
      <c r="K54" s="4" t="n"/>
    </row>
    <row r="55">
      <c r="A55" s="4" t="inlineStr">
        <is>
          <t>Caso B · Media · Vapor sobrecalentado</t>
        </is>
      </c>
      <c r="B55" s="4" t="inlineStr">
        <is>
          <t>Normal</t>
        </is>
      </c>
      <c r="C55" s="4" t="inlineStr">
        <is>
          <t>Factor de corrección por tuberías (Fp)</t>
        </is>
      </c>
      <c r="D55" s="4" t="inlineStr"/>
      <c r="E55" s="4" t="n">
        <v>0.992</v>
      </c>
      <c r="F55" s="5" t="n"/>
      <c r="G55" s="5" t="n"/>
      <c r="H55" s="6">
        <f>IF(F55="","",(F55-E55)/E55)</f>
        <v/>
      </c>
      <c r="I55" s="4">
        <f>IF(Tolerancias!C5="","",Tolerancias!C5)</f>
        <v/>
      </c>
      <c r="J55" s="4">
        <f>IF(OR(F55="",I55=""),"",IF(ABS(H55)*100&lt;=I55,"OK","Revisar"))</f>
        <v/>
      </c>
      <c r="K55" s="4" t="n"/>
    </row>
    <row r="56">
      <c r="A56" s="4" t="inlineStr">
        <is>
          <t>Caso B · Media · Vapor sobrecalentado</t>
        </is>
      </c>
      <c r="B56" s="4" t="inlineStr">
        <is>
          <t>Máximo</t>
        </is>
      </c>
      <c r="C56" s="4" t="inlineStr">
        <is>
          <t>Factor de corrección por tuberías (Fp)</t>
        </is>
      </c>
      <c r="D56" s="4" t="inlineStr"/>
      <c r="E56" s="4" t="n">
        <v>0.981</v>
      </c>
      <c r="F56" s="5" t="n"/>
      <c r="G56" s="5" t="n"/>
      <c r="H56" s="6">
        <f>IF(F56="","",(F56-E56)/E56)</f>
        <v/>
      </c>
      <c r="I56" s="4">
        <f>IF(Tolerancias!C5="","",Tolerancias!C5)</f>
        <v/>
      </c>
      <c r="J56" s="4">
        <f>IF(OR(F56="",I56=""),"",IF(ABS(H56)*100&lt;=I56,"OK","Revisar"))</f>
        <v/>
      </c>
      <c r="K56" s="4" t="n"/>
    </row>
    <row r="57">
      <c r="A57" s="4" t="inlineStr">
        <is>
          <t>Caso B · Media · Vapor sobrecalentado</t>
        </is>
      </c>
      <c r="B57" s="4" t="inlineStr">
        <is>
          <t>Mínimo</t>
        </is>
      </c>
      <c r="C57" s="4" t="inlineStr">
        <is>
          <t>Presión diferencial ΔP</t>
        </is>
      </c>
      <c r="D57" s="4" t="inlineStr">
        <is>
          <t>bar</t>
        </is>
      </c>
      <c r="E57" s="4" t="n">
        <v>21</v>
      </c>
      <c r="F57" s="5" t="n"/>
      <c r="G57" s="5" t="n"/>
      <c r="H57" s="6">
        <f>IF(F57="","",(F57-E57)/E57)</f>
        <v/>
      </c>
      <c r="I57" s="4">
        <f>IF(Tolerancias!C6="","",Tolerancias!C6)</f>
        <v/>
      </c>
      <c r="J57" s="4">
        <f>IF(OR(F57="",I57=""),"",IF(ABS(H57)*100&lt;=I57,"OK","Revisar"))</f>
        <v/>
      </c>
      <c r="K57" s="4" t="n"/>
    </row>
    <row r="58">
      <c r="A58" s="4" t="inlineStr">
        <is>
          <t>Caso B · Media · Vapor sobrecalentado</t>
        </is>
      </c>
      <c r="B58" s="4" t="inlineStr">
        <is>
          <t>Normal</t>
        </is>
      </c>
      <c r="C58" s="4" t="inlineStr">
        <is>
          <t>Presión diferencial ΔP</t>
        </is>
      </c>
      <c r="D58" s="4" t="inlineStr">
        <is>
          <t>bar</t>
        </is>
      </c>
      <c r="E58" s="4" t="n">
        <v>20</v>
      </c>
      <c r="F58" s="5" t="n"/>
      <c r="G58" s="5" t="n"/>
      <c r="H58" s="6">
        <f>IF(F58="","",(F58-E58)/E58)</f>
        <v/>
      </c>
      <c r="I58" s="4">
        <f>IF(Tolerancias!C6="","",Tolerancias!C6)</f>
        <v/>
      </c>
      <c r="J58" s="4">
        <f>IF(OR(F58="",I58=""),"",IF(ABS(H58)*100&lt;=I58,"OK","Revisar"))</f>
        <v/>
      </c>
      <c r="K58" s="4" t="n"/>
    </row>
    <row r="59">
      <c r="A59" s="4" t="inlineStr">
        <is>
          <t>Caso B · Media · Vapor sobrecalentado</t>
        </is>
      </c>
      <c r="B59" s="4" t="inlineStr">
        <is>
          <t>Máximo</t>
        </is>
      </c>
      <c r="C59" s="4" t="inlineStr">
        <is>
          <t>Presión diferencial ΔP</t>
        </is>
      </c>
      <c r="D59" s="4" t="inlineStr">
        <is>
          <t>bar</t>
        </is>
      </c>
      <c r="E59" s="4" t="n">
        <v>19</v>
      </c>
      <c r="F59" s="5" t="n"/>
      <c r="G59" s="5" t="n"/>
      <c r="H59" s="6">
        <f>IF(F59="","",(F59-E59)/E59)</f>
        <v/>
      </c>
      <c r="I59" s="4">
        <f>IF(Tolerancias!C6="","",Tolerancias!C6)</f>
        <v/>
      </c>
      <c r="J59" s="4">
        <f>IF(OR(F59="",I59=""),"",IF(ABS(H59)*100&lt;=I59,"OK","Revisar"))</f>
        <v/>
      </c>
      <c r="K59" s="4" t="n"/>
    </row>
    <row r="60">
      <c r="A60" s="4" t="inlineStr">
        <is>
          <t>Caso B · Media · Vapor sobrecalentado</t>
        </is>
      </c>
      <c r="B60" s="4" t="inlineStr">
        <is>
          <t>Tight Shutoff</t>
        </is>
      </c>
      <c r="C60" s="4" t="inlineStr">
        <is>
          <t>Presión diferencial ΔP</t>
        </is>
      </c>
      <c r="D60" s="4" t="inlineStr">
        <is>
          <t>bar</t>
        </is>
      </c>
      <c r="E60" s="4" t="n">
        <v>43</v>
      </c>
      <c r="F60" s="5" t="n"/>
      <c r="G60" s="5" t="n"/>
      <c r="H60" s="6">
        <f>IF(F60="","",(F60-E60)/E60)</f>
        <v/>
      </c>
      <c r="I60" s="4">
        <f>IF(Tolerancias!C6="","",Tolerancias!C6)</f>
        <v/>
      </c>
      <c r="J60" s="4">
        <f>IF(OR(F60="",I60=""),"",IF(ABS(H60)*100&lt;=I60,"OK","Revisar"))</f>
        <v/>
      </c>
      <c r="K60" s="4" t="n"/>
    </row>
    <row r="61">
      <c r="A61" s="4" t="inlineStr">
        <is>
          <t>Caso B · Media · Vapor sobrecalentado</t>
        </is>
      </c>
      <c r="B61" s="4" t="inlineStr">
        <is>
          <t>Mínimo</t>
        </is>
      </c>
      <c r="C61" s="4" t="inlineStr">
        <is>
          <t>Apertura estimada</t>
        </is>
      </c>
      <c r="D61" s="4" t="inlineStr">
        <is>
          <t>%</t>
        </is>
      </c>
      <c r="E61" s="4" t="n">
        <v>14</v>
      </c>
      <c r="F61" s="5" t="n"/>
      <c r="G61" s="5" t="n"/>
      <c r="H61" s="7">
        <f>IF(F61="","",F61-E61)</f>
        <v/>
      </c>
      <c r="I61" s="4">
        <f>IF(Tolerancias!C7="","",Tolerancias!C7)</f>
        <v/>
      </c>
      <c r="J61" s="4">
        <f>IF(OR(F61="",I61=""),"",IF(ABS(H61)&lt;=I61,"OK","Revisar"))</f>
        <v/>
      </c>
      <c r="K61" s="4" t="n"/>
    </row>
    <row r="62">
      <c r="A62" s="4" t="inlineStr">
        <is>
          <t>Caso B · Media · Vapor sobrecalentado</t>
        </is>
      </c>
      <c r="B62" s="4" t="inlineStr">
        <is>
          <t>Normal</t>
        </is>
      </c>
      <c r="C62" s="4" t="inlineStr">
        <is>
          <t>Apertura estimada</t>
        </is>
      </c>
      <c r="D62" s="4" t="inlineStr">
        <is>
          <t>%</t>
        </is>
      </c>
      <c r="E62" s="4" t="n">
        <v>22.8</v>
      </c>
      <c r="F62" s="5" t="n"/>
      <c r="G62" s="5" t="n"/>
      <c r="H62" s="7">
        <f>IF(F62="","",F62-E62)</f>
        <v/>
      </c>
      <c r="I62" s="4">
        <f>IF(Tolerancias!C7="","",Tolerancias!C7)</f>
        <v/>
      </c>
      <c r="J62" s="4">
        <f>IF(OR(F62="",I62=""),"",IF(ABS(H62)&lt;=I62,"OK","Revisar"))</f>
        <v/>
      </c>
      <c r="K62" s="4" t="n"/>
    </row>
    <row r="63">
      <c r="A63" s="4" t="inlineStr">
        <is>
          <t>Caso B · Media · Vapor sobrecalentado</t>
        </is>
      </c>
      <c r="B63" s="4" t="inlineStr">
        <is>
          <t>Máximo</t>
        </is>
      </c>
      <c r="C63" s="4" t="inlineStr">
        <is>
          <t>Apertura estimada</t>
        </is>
      </c>
      <c r="D63" s="4" t="inlineStr">
        <is>
          <t>%</t>
        </is>
      </c>
      <c r="E63" s="4" t="n">
        <v>36.8</v>
      </c>
      <c r="F63" s="5" t="n"/>
      <c r="G63" s="5" t="n"/>
      <c r="H63" s="7">
        <f>IF(F63="","",F63-E63)</f>
        <v/>
      </c>
      <c r="I63" s="4">
        <f>IF(Tolerancias!C7="","",Tolerancias!C7)</f>
        <v/>
      </c>
      <c r="J63" s="4">
        <f>IF(OR(F63="",I63=""),"",IF(ABS(H63)&lt;=I63,"OK","Revisar"))</f>
        <v/>
      </c>
      <c r="K63" s="4" t="n"/>
    </row>
    <row r="64">
      <c r="A64" s="4" t="inlineStr">
        <is>
          <t>Caso B · Media · Vapor sobrecalentado</t>
        </is>
      </c>
      <c r="B64" s="4" t="inlineStr">
        <is>
          <t>Mínimo</t>
        </is>
      </c>
      <c r="C64" s="4" t="inlineStr">
        <is>
          <t>Ruido de la válvula LpA a 1 m</t>
        </is>
      </c>
      <c r="D64" s="4" t="inlineStr">
        <is>
          <t>dB(A)</t>
        </is>
      </c>
      <c r="E64" s="4" t="n">
        <v>97.7</v>
      </c>
      <c r="F64" s="5" t="n"/>
      <c r="G64" s="5" t="n"/>
      <c r="H64" s="7">
        <f>IF(F64="","",F64-E64)</f>
        <v/>
      </c>
      <c r="I64" s="4">
        <f>IF(Tolerancias!C9="","",Tolerancias!C9)</f>
        <v/>
      </c>
      <c r="J64" s="4">
        <f>IF(OR(F64="",I64=""),"",IF(ABS(H64)&lt;=I64,"OK","Revisar"))</f>
        <v/>
      </c>
      <c r="K64" s="4" t="n"/>
    </row>
    <row r="65">
      <c r="A65" s="4" t="inlineStr">
        <is>
          <t>Caso B · Media · Vapor sobrecalentado</t>
        </is>
      </c>
      <c r="B65" s="4" t="inlineStr">
        <is>
          <t>Normal</t>
        </is>
      </c>
      <c r="C65" s="4" t="inlineStr">
        <is>
          <t>Ruido de la válvula LpA a 1 m</t>
        </is>
      </c>
      <c r="D65" s="4" t="inlineStr">
        <is>
          <t>dB(A)</t>
        </is>
      </c>
      <c r="E65" s="4" t="n">
        <v>100</v>
      </c>
      <c r="F65" s="5" t="n"/>
      <c r="G65" s="5" t="n"/>
      <c r="H65" s="7">
        <f>IF(F65="","",F65-E65)</f>
        <v/>
      </c>
      <c r="I65" s="4">
        <f>IF(Tolerancias!C9="","",Tolerancias!C9)</f>
        <v/>
      </c>
      <c r="J65" s="4">
        <f>IF(OR(F65="",I65=""),"",IF(ABS(H65)&lt;=I65,"OK","Revisar"))</f>
        <v/>
      </c>
      <c r="K65" s="4" t="n"/>
    </row>
    <row r="66">
      <c r="A66" s="4" t="inlineStr">
        <is>
          <t>Caso B · Media · Vapor sobrecalentado</t>
        </is>
      </c>
      <c r="B66" s="4" t="inlineStr">
        <is>
          <t>Máximo</t>
        </is>
      </c>
      <c r="C66" s="4" t="inlineStr">
        <is>
          <t>Ruido de la válvula LpA a 1 m</t>
        </is>
      </c>
      <c r="D66" s="4" t="inlineStr">
        <is>
          <t>dB(A)</t>
        </is>
      </c>
      <c r="E66" s="4" t="n">
        <v>103</v>
      </c>
      <c r="F66" s="5" t="n"/>
      <c r="G66" s="5" t="n"/>
      <c r="H66" s="7">
        <f>IF(F66="","",F66-E66)</f>
        <v/>
      </c>
      <c r="I66" s="4">
        <f>IF(Tolerancias!C9="","",Tolerancias!C9)</f>
        <v/>
      </c>
      <c r="J66" s="4">
        <f>IF(OR(F66="",I66=""),"",IF(ABS(H66)&lt;=I66,"OK","Revisar"))</f>
        <v/>
      </c>
      <c r="K66" s="4" t="n"/>
    </row>
    <row r="67">
      <c r="A67" s="4" t="inlineStr">
        <is>
          <t>Caso B · Media · Vapor sobrecalentado</t>
        </is>
      </c>
      <c r="B67" s="4" t="inlineStr">
        <is>
          <t>Mínimo</t>
        </is>
      </c>
      <c r="C67" s="4" t="inlineStr">
        <is>
          <t>Mach en la salida de la válvula</t>
        </is>
      </c>
      <c r="D67" s="4" t="inlineStr"/>
      <c r="E67" s="4" t="n">
        <v>0.106</v>
      </c>
      <c r="F67" s="5" t="n"/>
      <c r="G67" s="5" t="n"/>
      <c r="H67" s="6">
        <f>IF(F67="","",(F67-E67)/E67)</f>
        <v/>
      </c>
      <c r="I67" s="4">
        <f>IF(Tolerancias!C10="","",Tolerancias!C10)</f>
        <v/>
      </c>
      <c r="J67" s="4">
        <f>IF(OR(F67="",I67=""),"",IF(ABS(H67)*100&lt;=I67,"OK","Revisar"))</f>
        <v/>
      </c>
      <c r="K67" s="4" t="n"/>
    </row>
    <row r="68">
      <c r="A68" s="4" t="inlineStr">
        <is>
          <t>Caso B · Media · Vapor sobrecalentado</t>
        </is>
      </c>
      <c r="B68" s="4" t="inlineStr">
        <is>
          <t>Normal</t>
        </is>
      </c>
      <c r="C68" s="4" t="inlineStr">
        <is>
          <t>Mach en la salida de la válvula</t>
        </is>
      </c>
      <c r="D68" s="4" t="inlineStr"/>
      <c r="E68" s="4" t="n">
        <v>0.159</v>
      </c>
      <c r="F68" s="5" t="n"/>
      <c r="G68" s="5" t="n"/>
      <c r="H68" s="6">
        <f>IF(F68="","",(F68-E68)/E68)</f>
        <v/>
      </c>
      <c r="I68" s="4">
        <f>IF(Tolerancias!C10="","",Tolerancias!C10)</f>
        <v/>
      </c>
      <c r="J68" s="4">
        <f>IF(OR(F68="",I68=""),"",IF(ABS(H68)*100&lt;=I68,"OK","Revisar"))</f>
        <v/>
      </c>
      <c r="K68" s="4" t="n"/>
    </row>
    <row r="69">
      <c r="A69" s="4" t="inlineStr">
        <is>
          <t>Caso B · Media · Vapor sobrecalentado</t>
        </is>
      </c>
      <c r="B69" s="4" t="inlineStr">
        <is>
          <t>Máximo</t>
        </is>
      </c>
      <c r="C69" s="4" t="inlineStr">
        <is>
          <t>Mach en la salida de la válvula</t>
        </is>
      </c>
      <c r="D69" s="4" t="inlineStr"/>
      <c r="E69" s="4" t="n">
        <v>0.239</v>
      </c>
      <c r="F69" s="5" t="n"/>
      <c r="G69" s="5" t="n"/>
      <c r="H69" s="6">
        <f>IF(F69="","",(F69-E69)/E69)</f>
        <v/>
      </c>
      <c r="I69" s="4">
        <f>IF(Tolerancias!C10="","",Tolerancias!C10)</f>
        <v/>
      </c>
      <c r="J69" s="4">
        <f>IF(OR(F69="",I69=""),"",IF(ABS(H69)*100&lt;=I69,"OK","Revisar"))</f>
        <v/>
      </c>
      <c r="K69" s="4" t="n"/>
    </row>
    <row r="70">
      <c r="A70" s="4" t="inlineStr">
        <is>
          <t>Caso B · Media · Vapor sobrecalentado</t>
        </is>
      </c>
      <c r="B70" s="4" t="inlineStr">
        <is>
          <t>Mínimo</t>
        </is>
      </c>
      <c r="C70" s="4" t="inlineStr">
        <is>
          <t>Velocidad en la salida de la válvula</t>
        </is>
      </c>
      <c r="D70" s="4" t="inlineStr">
        <is>
          <t>m/s</t>
        </is>
      </c>
      <c r="E70" s="4" t="n">
        <v>65.2</v>
      </c>
      <c r="F70" s="5" t="n"/>
      <c r="G70" s="5" t="n"/>
      <c r="H70" s="6">
        <f>IF(F70="","",(F70-E70)/E70)</f>
        <v/>
      </c>
      <c r="I70" s="4">
        <f>IF(Tolerancias!C11="","",Tolerancias!C11)</f>
        <v/>
      </c>
      <c r="J70" s="4">
        <f>IF(OR(F70="",I70=""),"",IF(ABS(H70)*100&lt;=I70,"OK","Revisar"))</f>
        <v/>
      </c>
      <c r="K70" s="4" t="n"/>
    </row>
    <row r="71">
      <c r="A71" s="4" t="inlineStr">
        <is>
          <t>Caso B · Media · Vapor sobrecalentado</t>
        </is>
      </c>
      <c r="B71" s="4" t="inlineStr">
        <is>
          <t>Normal</t>
        </is>
      </c>
      <c r="C71" s="4" t="inlineStr">
        <is>
          <t>Velocidad en la salida de la válvula</t>
        </is>
      </c>
      <c r="D71" s="4" t="inlineStr">
        <is>
          <t>m/s</t>
        </is>
      </c>
      <c r="E71" s="4" t="n">
        <v>97.90000000000001</v>
      </c>
      <c r="F71" s="5" t="n"/>
      <c r="G71" s="5" t="n"/>
      <c r="H71" s="6">
        <f>IF(F71="","",(F71-E71)/E71)</f>
        <v/>
      </c>
      <c r="I71" s="4">
        <f>IF(Tolerancias!C11="","",Tolerancias!C11)</f>
        <v/>
      </c>
      <c r="J71" s="4">
        <f>IF(OR(F71="",I71=""),"",IF(ABS(H71)*100&lt;=I71,"OK","Revisar"))</f>
        <v/>
      </c>
      <c r="K71" s="4" t="n"/>
    </row>
    <row r="72">
      <c r="A72" s="4" t="inlineStr">
        <is>
          <t>Caso B · Media · Vapor sobrecalentado</t>
        </is>
      </c>
      <c r="B72" s="4" t="inlineStr">
        <is>
          <t>Máximo</t>
        </is>
      </c>
      <c r="C72" s="4" t="inlineStr">
        <is>
          <t>Velocidad en la salida de la válvula</t>
        </is>
      </c>
      <c r="D72" s="4" t="inlineStr">
        <is>
          <t>m/s</t>
        </is>
      </c>
      <c r="E72" s="4" t="n">
        <v>147</v>
      </c>
      <c r="F72" s="5" t="n"/>
      <c r="G72" s="5" t="n"/>
      <c r="H72" s="6">
        <f>IF(F72="","",(F72-E72)/E72)</f>
        <v/>
      </c>
      <c r="I72" s="4">
        <f>IF(Tolerancias!C11="","",Tolerancias!C11)</f>
        <v/>
      </c>
      <c r="J72" s="4">
        <f>IF(OR(F72="",I72=""),"",IF(ABS(H72)*100&lt;=I72,"OK","Revisar"))</f>
        <v/>
      </c>
      <c r="K72" s="4" t="n"/>
    </row>
    <row r="73">
      <c r="A73" s="4" t="inlineStr">
        <is>
          <t>Caso B · Media · Vapor sobrecalentado</t>
        </is>
      </c>
      <c r="B73" s="4" t="inlineStr">
        <is>
          <t>Mínimo</t>
        </is>
      </c>
      <c r="C73" s="4" t="inlineStr">
        <is>
          <t>Sobrecalentamiento a P2</t>
        </is>
      </c>
      <c r="D73" s="4" t="inlineStr">
        <is>
          <t>°C</t>
        </is>
      </c>
      <c r="E73" s="4" t="n">
        <v>169</v>
      </c>
      <c r="F73" s="5" t="n"/>
      <c r="G73" s="5" t="n"/>
      <c r="H73" s="7">
        <f>IF(F73="","",F73-E73)</f>
        <v/>
      </c>
      <c r="I73" s="4">
        <f>IF(Tolerancias!C12="","",Tolerancias!C12)</f>
        <v/>
      </c>
      <c r="J73" s="4">
        <f>IF(OR(F73="",I73=""),"",IF(ABS(H73)&lt;=I73,"OK","Revisar"))</f>
        <v/>
      </c>
      <c r="K73" s="4" t="n"/>
    </row>
    <row r="74">
      <c r="A74" s="4" t="inlineStr">
        <is>
          <t>Caso B · Media · Vapor sobrecalentado</t>
        </is>
      </c>
      <c r="B74" s="4" t="inlineStr">
        <is>
          <t>Normal</t>
        </is>
      </c>
      <c r="C74" s="4" t="inlineStr">
        <is>
          <t>Sobrecalentamiento a P2</t>
        </is>
      </c>
      <c r="D74" s="4" t="inlineStr">
        <is>
          <t>°C</t>
        </is>
      </c>
      <c r="E74" s="4" t="n">
        <v>170</v>
      </c>
      <c r="F74" s="5" t="n"/>
      <c r="G74" s="5" t="n"/>
      <c r="H74" s="7">
        <f>IF(F74="","",F74-E74)</f>
        <v/>
      </c>
      <c r="I74" s="4">
        <f>IF(Tolerancias!C12="","",Tolerancias!C12)</f>
        <v/>
      </c>
      <c r="J74" s="4">
        <f>IF(OR(F74="",I74=""),"",IF(ABS(H74)&lt;=I74,"OK","Revisar"))</f>
        <v/>
      </c>
      <c r="K74" s="4" t="n"/>
    </row>
    <row r="75">
      <c r="A75" s="4" t="inlineStr">
        <is>
          <t>Caso B · Media · Vapor sobrecalentado</t>
        </is>
      </c>
      <c r="B75" s="4" t="inlineStr">
        <is>
          <t>Máximo</t>
        </is>
      </c>
      <c r="C75" s="4" t="inlineStr">
        <is>
          <t>Sobrecalentamiento a P2</t>
        </is>
      </c>
      <c r="D75" s="4" t="inlineStr">
        <is>
          <t>°C</t>
        </is>
      </c>
      <c r="E75" s="4" t="n">
        <v>171</v>
      </c>
      <c r="F75" s="5" t="n"/>
      <c r="G75" s="5" t="n"/>
      <c r="H75" s="7">
        <f>IF(F75="","",F75-E75)</f>
        <v/>
      </c>
      <c r="I75" s="4">
        <f>IF(Tolerancias!C12="","",Tolerancias!C12)</f>
        <v/>
      </c>
      <c r="J75" s="4">
        <f>IF(OR(F75="",I75=""),"",IF(ABS(H75)&lt;=I75,"OK","Revisar"))</f>
        <v/>
      </c>
      <c r="K75" s="4" t="n"/>
    </row>
    <row r="76">
      <c r="A76" s="4" t="inlineStr">
        <is>
          <t>Caso B · Media · Vapor sobrecalentado</t>
        </is>
      </c>
      <c r="B76" s="4" t="inlineStr">
        <is>
          <t>Mínimo</t>
        </is>
      </c>
      <c r="C76" s="4" t="inlineStr">
        <is>
          <t>Factor de recuperación combinado (FLp)</t>
        </is>
      </c>
      <c r="D76" s="4" t="inlineStr"/>
      <c r="E76" s="4" t="n">
        <v>0.897</v>
      </c>
      <c r="F76" s="5" t="n"/>
      <c r="G76" s="5" t="n"/>
      <c r="H76" s="6">
        <f>IF(F76="","",(F76-E76)/E76)</f>
        <v/>
      </c>
      <c r="I76" s="4">
        <f>IF(Tolerancias!C15="","",Tolerancias!C15)</f>
        <v/>
      </c>
      <c r="J76" s="4">
        <f>IF(OR(F76="",I76=""),"",IF(ABS(H76)*100&lt;=I76,"OK","Revisar"))</f>
        <v/>
      </c>
      <c r="K76" s="4" t="n"/>
    </row>
    <row r="77">
      <c r="A77" s="4" t="inlineStr">
        <is>
          <t>Caso B · Media · Vapor sobrecalentado</t>
        </is>
      </c>
      <c r="B77" s="4" t="inlineStr">
        <is>
          <t>Normal</t>
        </is>
      </c>
      <c r="C77" s="4" t="inlineStr">
        <is>
          <t>Factor de recuperación combinado (FLp)</t>
        </is>
      </c>
      <c r="D77" s="4" t="inlineStr"/>
      <c r="E77" s="4" t="n">
        <v>0.893</v>
      </c>
      <c r="F77" s="5" t="n"/>
      <c r="G77" s="5" t="n"/>
      <c r="H77" s="6">
        <f>IF(F77="","",(F77-E77)/E77)</f>
        <v/>
      </c>
      <c r="I77" s="4">
        <f>IF(Tolerancias!C15="","",Tolerancias!C15)</f>
        <v/>
      </c>
      <c r="J77" s="4">
        <f>IF(OR(F77="",I77=""),"",IF(ABS(H77)*100&lt;=I77,"OK","Revisar"))</f>
        <v/>
      </c>
      <c r="K77" s="4" t="n"/>
    </row>
    <row r="78">
      <c r="A78" s="4" t="inlineStr">
        <is>
          <t>Caso B · Media · Vapor sobrecalentado</t>
        </is>
      </c>
      <c r="B78" s="4" t="inlineStr">
        <is>
          <t>Máximo</t>
        </is>
      </c>
      <c r="C78" s="4" t="inlineStr">
        <is>
          <t>Factor de recuperación combinado (FLp)</t>
        </is>
      </c>
      <c r="D78" s="4" t="inlineStr"/>
      <c r="E78" s="4" t="n">
        <v>0.883</v>
      </c>
      <c r="F78" s="5" t="n"/>
      <c r="G78" s="5" t="n"/>
      <c r="H78" s="6">
        <f>IF(F78="","",(F78-E78)/E78)</f>
        <v/>
      </c>
      <c r="I78" s="4">
        <f>IF(Tolerancias!C15="","",Tolerancias!C15)</f>
        <v/>
      </c>
      <c r="J78" s="4">
        <f>IF(OR(F78="",I78=""),"",IF(ABS(H78)*100&lt;=I78,"OK","Revisar"))</f>
        <v/>
      </c>
      <c r="K78" s="4" t="n"/>
    </row>
    <row r="79">
      <c r="A79" s="4" t="inlineStr">
        <is>
          <t>Caso B · Media · Vapor sobrecalentado</t>
        </is>
      </c>
      <c r="B79" s="4" t="inlineStr">
        <is>
          <t>Mínimo</t>
        </is>
      </c>
      <c r="C79" s="4" t="inlineStr">
        <is>
          <t>Densidad de entrada ρ1</t>
        </is>
      </c>
      <c r="D79" s="4" t="inlineStr">
        <is>
          <t>kg/m³</t>
        </is>
      </c>
      <c r="E79" s="4" t="n">
        <v>14.35</v>
      </c>
      <c r="F79" s="5" t="n"/>
      <c r="G79" s="5" t="n"/>
      <c r="H79" s="6">
        <f>IF(F79="","",(F79-E79)/E79)</f>
        <v/>
      </c>
      <c r="I79" s="4">
        <f>IF(Tolerancias!C17="","",Tolerancias!C17)</f>
        <v/>
      </c>
      <c r="J79" s="4">
        <f>IF(OR(F79="",I79=""),"",IF(ABS(H79)*100&lt;=I79,"OK","Revisar"))</f>
        <v/>
      </c>
      <c r="K79" s="4" t="n"/>
    </row>
    <row r="80">
      <c r="A80" s="4" t="inlineStr">
        <is>
          <t>Caso B · Media · Vapor sobrecalentado</t>
        </is>
      </c>
      <c r="B80" s="4" t="inlineStr">
        <is>
          <t>Normal</t>
        </is>
      </c>
      <c r="C80" s="4" t="inlineStr">
        <is>
          <t>Densidad de entrada ρ1</t>
        </is>
      </c>
      <c r="D80" s="4" t="inlineStr">
        <is>
          <t>kg/m³</t>
        </is>
      </c>
      <c r="E80" s="4" t="n">
        <v>13.98</v>
      </c>
      <c r="F80" s="5" t="n"/>
      <c r="G80" s="5" t="n"/>
      <c r="H80" s="6">
        <f>IF(F80="","",(F80-E80)/E80)</f>
        <v/>
      </c>
      <c r="I80" s="4">
        <f>IF(Tolerancias!C17="","",Tolerancias!C17)</f>
        <v/>
      </c>
      <c r="J80" s="4">
        <f>IF(OR(F80="",I80=""),"",IF(ABS(H80)*100&lt;=I80,"OK","Revisar"))</f>
        <v/>
      </c>
      <c r="K80" s="4" t="n"/>
    </row>
    <row r="81">
      <c r="A81" s="4" t="inlineStr">
        <is>
          <t>Caso B · Media · Vapor sobrecalentado</t>
        </is>
      </c>
      <c r="B81" s="4" t="inlineStr">
        <is>
          <t>Máximo</t>
        </is>
      </c>
      <c r="C81" s="4" t="inlineStr">
        <is>
          <t>Densidad de entrada ρ1</t>
        </is>
      </c>
      <c r="D81" s="4" t="inlineStr">
        <is>
          <t>kg/m³</t>
        </is>
      </c>
      <c r="E81" s="4" t="n">
        <v>13.62</v>
      </c>
      <c r="F81" s="5" t="n"/>
      <c r="G81" s="5" t="n"/>
      <c r="H81" s="6">
        <f>IF(F81="","",(F81-E81)/E81)</f>
        <v/>
      </c>
      <c r="I81" s="4">
        <f>IF(Tolerancias!C17="","",Tolerancias!C17)</f>
        <v/>
      </c>
      <c r="J81" s="4">
        <f>IF(OR(F81="",I81=""),"",IF(ABS(H81)*100&lt;=I81,"OK","Revisar"))</f>
        <v/>
      </c>
      <c r="K81" s="4" t="n"/>
    </row>
    <row r="82">
      <c r="A82" s="4" t="inlineStr">
        <is>
          <t>Caso B · Media · Vapor sobrecalentado</t>
        </is>
      </c>
      <c r="B82" s="4" t="inlineStr">
        <is>
          <t>Mínimo</t>
        </is>
      </c>
      <c r="C82" s="4" t="inlineStr">
        <is>
          <t>Densidad de salida ρ2</t>
        </is>
      </c>
      <c r="D82" s="4" t="inlineStr">
        <is>
          <t>kg/m³</t>
        </is>
      </c>
      <c r="E82" s="4" t="n">
        <v>7.15</v>
      </c>
      <c r="F82" s="5" t="n"/>
      <c r="G82" s="5" t="n"/>
      <c r="H82" s="6">
        <f>IF(F82="","",(F82-E82)/E82)</f>
        <v/>
      </c>
      <c r="I82" s="4">
        <f>IF(Tolerancias!C18="","",Tolerancias!C18)</f>
        <v/>
      </c>
      <c r="J82" s="4">
        <f>IF(OR(F82="",I82=""),"",IF(ABS(H82)*100&lt;=I82,"OK","Revisar"))</f>
        <v/>
      </c>
      <c r="K82" s="4" t="n"/>
    </row>
    <row r="83">
      <c r="A83" s="4" t="inlineStr">
        <is>
          <t>Caso B · Media · Vapor sobrecalentado</t>
        </is>
      </c>
      <c r="B83" s="4" t="inlineStr">
        <is>
          <t>Normal</t>
        </is>
      </c>
      <c r="C83" s="4" t="inlineStr">
        <is>
          <t>Densidad de salida ρ2</t>
        </is>
      </c>
      <c r="D83" s="4" t="inlineStr">
        <is>
          <t>kg/m³</t>
        </is>
      </c>
      <c r="E83" s="4" t="n">
        <v>7.14</v>
      </c>
      <c r="F83" s="5" t="n"/>
      <c r="G83" s="5" t="n"/>
      <c r="H83" s="6">
        <f>IF(F83="","",(F83-E83)/E83)</f>
        <v/>
      </c>
      <c r="I83" s="4">
        <f>IF(Tolerancias!C18="","",Tolerancias!C18)</f>
        <v/>
      </c>
      <c r="J83" s="4">
        <f>IF(OR(F83="",I83=""),"",IF(ABS(H83)*100&lt;=I83,"OK","Revisar"))</f>
        <v/>
      </c>
      <c r="K83" s="4" t="n"/>
    </row>
    <row r="84">
      <c r="A84" s="4" t="inlineStr">
        <is>
          <t>Caso B · Media · Vapor sobrecalentado</t>
        </is>
      </c>
      <c r="B84" s="4" t="inlineStr">
        <is>
          <t>Máximo</t>
        </is>
      </c>
      <c r="C84" s="4" t="inlineStr">
        <is>
          <t>Densidad de salida ρ2</t>
        </is>
      </c>
      <c r="D84" s="4" t="inlineStr">
        <is>
          <t>kg/m³</t>
        </is>
      </c>
      <c r="E84" s="4" t="n">
        <v>7.131</v>
      </c>
      <c r="F84" s="5" t="n"/>
      <c r="G84" s="5" t="n"/>
      <c r="H84" s="6">
        <f>IF(F84="","",(F84-E84)/E84)</f>
        <v/>
      </c>
      <c r="I84" s="4">
        <f>IF(Tolerancias!C18="","",Tolerancias!C18)</f>
        <v/>
      </c>
      <c r="J84" s="4">
        <f>IF(OR(F84="",I84=""),"",IF(ABS(H84)*100&lt;=I84,"OK","Revisar"))</f>
        <v/>
      </c>
      <c r="K84" s="4" t="n"/>
    </row>
    <row r="85">
      <c r="A85" s="4" t="inlineStr">
        <is>
          <t>Caso B · Media · Vapor sobrecalentado</t>
        </is>
      </c>
      <c r="B85" s="4" t="inlineStr">
        <is>
          <t>Mínimo</t>
        </is>
      </c>
      <c r="C85" s="4" t="inlineStr">
        <is>
          <t>Factor xT ajustado por accesorios (xTP)</t>
        </is>
      </c>
      <c r="D85" s="4" t="inlineStr"/>
      <c r="E85" s="4" t="n">
        <v>0.751</v>
      </c>
      <c r="F85" s="5" t="n"/>
      <c r="G85" s="5" t="n"/>
      <c r="H85" s="6">
        <f>IF(F85="","",(F85-E85)/E85)</f>
        <v/>
      </c>
      <c r="I85" s="4">
        <f>IF(Tolerancias!C19="","",Tolerancias!C19)</f>
        <v/>
      </c>
      <c r="J85" s="4">
        <f>IF(OR(F85="",I85=""),"",IF(ABS(H85)*100&lt;=I85,"OK","Revisar"))</f>
        <v/>
      </c>
      <c r="K85" s="4" t="n"/>
    </row>
    <row r="86">
      <c r="A86" s="4" t="inlineStr">
        <is>
          <t>Caso B · Media · Vapor sobrecalentado</t>
        </is>
      </c>
      <c r="B86" s="4" t="inlineStr">
        <is>
          <t>Normal</t>
        </is>
      </c>
      <c r="C86" s="4" t="inlineStr">
        <is>
          <t>Factor xT ajustado por accesorios (xTP)</t>
        </is>
      </c>
      <c r="D86" s="4" t="inlineStr"/>
      <c r="E86" s="4" t="n">
        <v>0.752</v>
      </c>
      <c r="F86" s="5" t="n"/>
      <c r="G86" s="5" t="n"/>
      <c r="H86" s="6">
        <f>IF(F86="","",(F86-E86)/E86)</f>
        <v/>
      </c>
      <c r="I86" s="4">
        <f>IF(Tolerancias!C19="","",Tolerancias!C19)</f>
        <v/>
      </c>
      <c r="J86" s="4">
        <f>IF(OR(F86="",I86=""),"",IF(ABS(H86)*100&lt;=I86,"OK","Revisar"))</f>
        <v/>
      </c>
      <c r="K86" s="4" t="n"/>
    </row>
    <row r="87">
      <c r="A87" s="4" t="inlineStr">
        <is>
          <t>Caso B · Media · Vapor sobrecalentado</t>
        </is>
      </c>
      <c r="B87" s="4" t="inlineStr">
        <is>
          <t>Máximo</t>
        </is>
      </c>
      <c r="C87" s="4" t="inlineStr">
        <is>
          <t>Factor xT ajustado por accesorios (xTP)</t>
        </is>
      </c>
      <c r="D87" s="4" t="inlineStr"/>
      <c r="E87" s="4" t="n">
        <v>0.755</v>
      </c>
      <c r="F87" s="5" t="n"/>
      <c r="G87" s="5" t="n"/>
      <c r="H87" s="6">
        <f>IF(F87="","",(F87-E87)/E87)</f>
        <v/>
      </c>
      <c r="I87" s="4">
        <f>IF(Tolerancias!C19="","",Tolerancias!C19)</f>
        <v/>
      </c>
      <c r="J87" s="4">
        <f>IF(OR(F87="",I87=""),"",IF(ABS(H87)*100&lt;=I87,"OK","Revisar"))</f>
        <v/>
      </c>
      <c r="K87" s="4" t="n"/>
    </row>
    <row r="88">
      <c r="A88" s="4" t="inlineStr">
        <is>
          <t>Caso B · Media · Vapor sobrecalentado</t>
        </is>
      </c>
      <c r="B88" s="4" t="inlineStr">
        <is>
          <t>Mínimo</t>
        </is>
      </c>
      <c r="C88" s="4" t="inlineStr">
        <is>
          <t>Velocidad del fluido aguas abajo</t>
        </is>
      </c>
      <c r="D88" s="4" t="inlineStr">
        <is>
          <t>m/s</t>
        </is>
      </c>
      <c r="E88" s="4" t="n">
        <v>9.630000000000001</v>
      </c>
      <c r="F88" s="5" t="n"/>
      <c r="G88" s="5" t="n"/>
      <c r="H88" s="6">
        <f>IF(F88="","",(F88-E88)/E88)</f>
        <v/>
      </c>
      <c r="I88" s="4">
        <f>IF(Tolerancias!C22="","",Tolerancias!C22)</f>
        <v/>
      </c>
      <c r="J88" s="4">
        <f>IF(OR(F88="",I88=""),"",IF(ABS(H88)*100&lt;=I88,"OK","Revisar"))</f>
        <v/>
      </c>
      <c r="K88" s="4" t="n"/>
    </row>
    <row r="89">
      <c r="A89" s="4" t="inlineStr">
        <is>
          <t>Caso B · Media · Vapor sobrecalentado</t>
        </is>
      </c>
      <c r="B89" s="4" t="inlineStr">
        <is>
          <t>Normal</t>
        </is>
      </c>
      <c r="C89" s="4" t="inlineStr">
        <is>
          <t>Velocidad del fluido aguas abajo</t>
        </is>
      </c>
      <c r="D89" s="4" t="inlineStr">
        <is>
          <t>m/s</t>
        </is>
      </c>
      <c r="E89" s="4" t="n">
        <v>14.5</v>
      </c>
      <c r="F89" s="5" t="n"/>
      <c r="G89" s="5" t="n"/>
      <c r="H89" s="6">
        <f>IF(F89="","",(F89-E89)/E89)</f>
        <v/>
      </c>
      <c r="I89" s="4">
        <f>IF(Tolerancias!C22="","",Tolerancias!C22)</f>
        <v/>
      </c>
      <c r="J89" s="4">
        <f>IF(OR(F89="",I89=""),"",IF(ABS(H89)*100&lt;=I89,"OK","Revisar"))</f>
        <v/>
      </c>
      <c r="K89" s="4" t="n"/>
    </row>
    <row r="90">
      <c r="A90" s="4" t="inlineStr">
        <is>
          <t>Caso B · Media · Vapor sobrecalentado</t>
        </is>
      </c>
      <c r="B90" s="4" t="inlineStr">
        <is>
          <t>Máximo</t>
        </is>
      </c>
      <c r="C90" s="4" t="inlineStr">
        <is>
          <t>Velocidad del fluido aguas abajo</t>
        </is>
      </c>
      <c r="D90" s="4" t="inlineStr">
        <is>
          <t>m/s</t>
        </is>
      </c>
      <c r="E90" s="4" t="n">
        <v>21.7</v>
      </c>
      <c r="F90" s="5" t="n"/>
      <c r="G90" s="5" t="n"/>
      <c r="H90" s="6">
        <f>IF(F90="","",(F90-E90)/E90)</f>
        <v/>
      </c>
      <c r="I90" s="4">
        <f>IF(Tolerancias!C22="","",Tolerancias!C22)</f>
        <v/>
      </c>
      <c r="J90" s="4">
        <f>IF(OR(F90="",I90=""),"",IF(ABS(H90)*100&lt;=I90,"OK","Revisar"))</f>
        <v/>
      </c>
      <c r="K90" s="4" t="n"/>
    </row>
    <row r="91">
      <c r="A91" s="4" t="inlineStr">
        <is>
          <t>Caso B · Media · Vapor sobrecalentado</t>
        </is>
      </c>
      <c r="B91" s="4" t="inlineStr">
        <is>
          <t>Mínimo</t>
        </is>
      </c>
      <c r="C91" s="4" t="inlineStr">
        <is>
          <t>Número de Reynolds (Rev)</t>
        </is>
      </c>
      <c r="D91" s="4" t="inlineStr"/>
      <c r="E91" s="4" t="n">
        <v>2280695</v>
      </c>
      <c r="F91" s="5" t="n"/>
      <c r="G91" s="5" t="n"/>
      <c r="H91" s="6">
        <f>IF(F91="","",(F91-E91)/E91)</f>
        <v/>
      </c>
      <c r="I91" s="4">
        <f>IF(Tolerancias!C23="","",Tolerancias!C23)</f>
        <v/>
      </c>
      <c r="J91" s="4">
        <f>IF(OR(F91="",I91=""),"",IF(ABS(H91)*100&lt;=I91,"OK","Revisar"))</f>
        <v/>
      </c>
      <c r="K91" s="4" t="n"/>
    </row>
    <row r="92">
      <c r="A92" s="4" t="inlineStr">
        <is>
          <t>Caso B · Media · Vapor sobrecalentado</t>
        </is>
      </c>
      <c r="B92" s="4" t="inlineStr">
        <is>
          <t>Normal</t>
        </is>
      </c>
      <c r="C92" s="4" t="inlineStr">
        <is>
          <t>Número de Reynolds (Rev)</t>
        </is>
      </c>
      <c r="D92" s="4" t="inlineStr"/>
      <c r="E92" s="4" t="n">
        <v>2747222</v>
      </c>
      <c r="F92" s="5" t="n"/>
      <c r="G92" s="5" t="n"/>
      <c r="H92" s="6">
        <f>IF(F92="","",(F92-E92)/E92)</f>
        <v/>
      </c>
      <c r="I92" s="4">
        <f>IF(Tolerancias!C23="","",Tolerancias!C23)</f>
        <v/>
      </c>
      <c r="J92" s="4">
        <f>IF(OR(F92="",I92=""),"",IF(ABS(H92)*100&lt;=I92,"OK","Revisar"))</f>
        <v/>
      </c>
      <c r="K92" s="4" t="n"/>
    </row>
    <row r="93">
      <c r="A93" s="4" t="inlineStr">
        <is>
          <t>Caso B · Media · Vapor sobrecalentado</t>
        </is>
      </c>
      <c r="B93" s="4" t="inlineStr">
        <is>
          <t>Máximo</t>
        </is>
      </c>
      <c r="C93" s="4" t="inlineStr">
        <is>
          <t>Número de Reynolds (Rev)</t>
        </is>
      </c>
      <c r="D93" s="4" t="inlineStr"/>
      <c r="E93" s="4" t="n">
        <v>3298059</v>
      </c>
      <c r="F93" s="5" t="n"/>
      <c r="G93" s="5" t="n"/>
      <c r="H93" s="6">
        <f>IF(F93="","",(F93-E93)/E93)</f>
        <v/>
      </c>
      <c r="I93" s="4">
        <f>IF(Tolerancias!C23="","",Tolerancias!C23)</f>
        <v/>
      </c>
      <c r="J93" s="4">
        <f>IF(OR(F93="",I93=""),"",IF(ABS(H93)*100&lt;=I93,"OK","Revisar"))</f>
        <v/>
      </c>
      <c r="K93" s="4" t="n"/>
    </row>
    <row r="94">
      <c r="A94" s="4" t="inlineStr">
        <is>
          <t>Caso C · Alta · Agua producida agria</t>
        </is>
      </c>
      <c r="B94" s="4" t="inlineStr">
        <is>
          <t>Mínimo</t>
        </is>
      </c>
      <c r="C94" s="4" t="inlineStr">
        <is>
          <t>Coeficiente de flujo (Cv)</t>
        </is>
      </c>
      <c r="D94" s="4" t="inlineStr"/>
      <c r="E94" s="4" t="n">
        <v>6.028</v>
      </c>
      <c r="F94" s="5" t="n"/>
      <c r="G94" s="5" t="n"/>
      <c r="H94" s="6">
        <f>IF(F94="","",(F94-E94)/E94)</f>
        <v/>
      </c>
      <c r="I94" s="4">
        <f>IF(Tolerancias!C2="","",Tolerancias!C2)</f>
        <v/>
      </c>
      <c r="J94" s="4">
        <f>IF(OR(F94="",I94=""),"",IF(ABS(H94)*100&lt;=I94,"OK","Revisar"))</f>
        <v/>
      </c>
      <c r="K94" s="4" t="n"/>
    </row>
    <row r="95">
      <c r="A95" s="4" t="inlineStr">
        <is>
          <t>Caso C · Alta · Agua producida agria</t>
        </is>
      </c>
      <c r="B95" s="4" t="inlineStr">
        <is>
          <t>Normal</t>
        </is>
      </c>
      <c r="C95" s="4" t="inlineStr">
        <is>
          <t>Coeficiente de flujo (Cv)</t>
        </is>
      </c>
      <c r="D95" s="4" t="inlineStr"/>
      <c r="E95" s="4" t="n">
        <v>13.83</v>
      </c>
      <c r="F95" s="5" t="n"/>
      <c r="G95" s="5" t="n"/>
      <c r="H95" s="6">
        <f>IF(F95="","",(F95-E95)/E95)</f>
        <v/>
      </c>
      <c r="I95" s="4">
        <f>IF(Tolerancias!C2="","",Tolerancias!C2)</f>
        <v/>
      </c>
      <c r="J95" s="4">
        <f>IF(OR(F95="",I95=""),"",IF(ABS(H95)*100&lt;=I95,"OK","Revisar"))</f>
        <v/>
      </c>
      <c r="K95" s="4" t="n"/>
    </row>
    <row r="96">
      <c r="A96" s="4" t="inlineStr">
        <is>
          <t>Caso C · Alta · Agua producida agria</t>
        </is>
      </c>
      <c r="B96" s="4" t="inlineStr">
        <is>
          <t>Máximo</t>
        </is>
      </c>
      <c r="C96" s="4" t="inlineStr">
        <is>
          <t>Coeficiente de flujo (Cv)</t>
        </is>
      </c>
      <c r="D96" s="4" t="inlineStr"/>
      <c r="E96" s="4" t="n">
        <v>20.43</v>
      </c>
      <c r="F96" s="5" t="n"/>
      <c r="G96" s="5" t="n"/>
      <c r="H96" s="6">
        <f>IF(F96="","",(F96-E96)/E96)</f>
        <v/>
      </c>
      <c r="I96" s="4">
        <f>IF(Tolerancias!C2="","",Tolerancias!C2)</f>
        <v/>
      </c>
      <c r="J96" s="4">
        <f>IF(OR(F96="",I96=""),"",IF(ABS(H96)*100&lt;=I96,"OK","Revisar"))</f>
        <v/>
      </c>
      <c r="K96" s="4" t="n"/>
    </row>
    <row r="97">
      <c r="A97" s="4" t="inlineStr">
        <is>
          <t>Caso C · Alta · Agua producida agria</t>
        </is>
      </c>
      <c r="B97" s="4" t="inlineStr">
        <is>
          <t>Mínimo</t>
        </is>
      </c>
      <c r="C97" s="4" t="inlineStr">
        <is>
          <t>ΔP crítica de flujo estrangulado (ΔP choked)</t>
        </is>
      </c>
      <c r="D97" s="4" t="inlineStr">
        <is>
          <t>bar</t>
        </is>
      </c>
      <c r="E97" s="4" t="n">
        <v>62.71</v>
      </c>
      <c r="F97" s="5" t="n"/>
      <c r="G97" s="5" t="n"/>
      <c r="H97" s="6">
        <f>IF(F97="","",(F97-E97)/E97)</f>
        <v/>
      </c>
      <c r="I97" s="4">
        <f>IF(Tolerancias!C4="","",Tolerancias!C4)</f>
        <v/>
      </c>
      <c r="J97" s="4">
        <f>IF(OR(F97="",I97=""),"",IF(ABS(H97)*100&lt;=I97,"OK","Revisar"))</f>
        <v/>
      </c>
      <c r="K97" s="4" t="n"/>
    </row>
    <row r="98">
      <c r="A98" s="4" t="inlineStr">
        <is>
          <t>Caso C · Alta · Agua producida agria</t>
        </is>
      </c>
      <c r="B98" s="4" t="inlineStr">
        <is>
          <t>Normal</t>
        </is>
      </c>
      <c r="C98" s="4" t="inlineStr">
        <is>
          <t>ΔP crítica de flujo estrangulado (ΔP choked)</t>
        </is>
      </c>
      <c r="D98" s="4" t="inlineStr">
        <is>
          <t>bar</t>
        </is>
      </c>
      <c r="E98" s="4" t="n">
        <v>60.96</v>
      </c>
      <c r="F98" s="5" t="n"/>
      <c r="G98" s="5" t="n"/>
      <c r="H98" s="6">
        <f>IF(F98="","",(F98-E98)/E98)</f>
        <v/>
      </c>
      <c r="I98" s="4">
        <f>IF(Tolerancias!C4="","",Tolerancias!C4)</f>
        <v/>
      </c>
      <c r="J98" s="4">
        <f>IF(OR(F98="",I98=""),"",IF(ABS(H98)*100&lt;=I98,"OK","Revisar"))</f>
        <v/>
      </c>
      <c r="K98" s="4" t="n"/>
    </row>
    <row r="99">
      <c r="A99" s="4" t="inlineStr">
        <is>
          <t>Caso C · Alta · Agua producida agria</t>
        </is>
      </c>
      <c r="B99" s="4" t="inlineStr">
        <is>
          <t>Máximo</t>
        </is>
      </c>
      <c r="C99" s="4" t="inlineStr">
        <is>
          <t>ΔP crítica de flujo estrangulado (ΔP choked)</t>
        </is>
      </c>
      <c r="D99" s="4" t="inlineStr">
        <is>
          <t>bar</t>
        </is>
      </c>
      <c r="E99" s="4" t="n">
        <v>59.2</v>
      </c>
      <c r="F99" s="5" t="n"/>
      <c r="G99" s="5" t="n"/>
      <c r="H99" s="6">
        <f>IF(F99="","",(F99-E99)/E99)</f>
        <v/>
      </c>
      <c r="I99" s="4">
        <f>IF(Tolerancias!C4="","",Tolerancias!C4)</f>
        <v/>
      </c>
      <c r="J99" s="4">
        <f>IF(OR(F99="",I99=""),"",IF(ABS(H99)*100&lt;=I99,"OK","Revisar"))</f>
        <v/>
      </c>
      <c r="K99" s="4" t="n"/>
    </row>
    <row r="100">
      <c r="A100" s="4" t="inlineStr">
        <is>
          <t>Caso C · Alta · Agua producida agria</t>
        </is>
      </c>
      <c r="B100" s="4" t="inlineStr">
        <is>
          <t>Mínimo</t>
        </is>
      </c>
      <c r="C100" s="4" t="inlineStr">
        <is>
          <t>Factor de corrección por tuberías (Fp)</t>
        </is>
      </c>
      <c r="D100" s="4" t="inlineStr"/>
      <c r="E100" s="4" t="n">
        <v>0.999</v>
      </c>
      <c r="F100" s="5" t="n"/>
      <c r="G100" s="5" t="n"/>
      <c r="H100" s="6">
        <f>IF(F100="","",(F100-E100)/E100)</f>
        <v/>
      </c>
      <c r="I100" s="4">
        <f>IF(Tolerancias!C5="","",Tolerancias!C5)</f>
        <v/>
      </c>
      <c r="J100" s="4">
        <f>IF(OR(F100="",I100=""),"",IF(ABS(H100)*100&lt;=I100,"OK","Revisar"))</f>
        <v/>
      </c>
      <c r="K100" s="4" t="n"/>
    </row>
    <row r="101">
      <c r="A101" s="4" t="inlineStr">
        <is>
          <t>Caso C · Alta · Agua producida agria</t>
        </is>
      </c>
      <c r="B101" s="4" t="inlineStr">
        <is>
          <t>Normal</t>
        </is>
      </c>
      <c r="C101" s="4" t="inlineStr">
        <is>
          <t>Factor de corrección por tuberías (Fp)</t>
        </is>
      </c>
      <c r="D101" s="4" t="inlineStr"/>
      <c r="E101" s="4" t="n">
        <v>0.993</v>
      </c>
      <c r="F101" s="5" t="n"/>
      <c r="G101" s="5" t="n"/>
      <c r="H101" s="6">
        <f>IF(F101="","",(F101-E101)/E101)</f>
        <v/>
      </c>
      <c r="I101" s="4">
        <f>IF(Tolerancias!C5="","",Tolerancias!C5)</f>
        <v/>
      </c>
      <c r="J101" s="4">
        <f>IF(OR(F101="",I101=""),"",IF(ABS(H101)*100&lt;=I101,"OK","Revisar"))</f>
        <v/>
      </c>
      <c r="K101" s="4" t="n"/>
    </row>
    <row r="102">
      <c r="A102" s="4" t="inlineStr">
        <is>
          <t>Caso C · Alta · Agua producida agria</t>
        </is>
      </c>
      <c r="B102" s="4" t="inlineStr">
        <is>
          <t>Máximo</t>
        </is>
      </c>
      <c r="C102" s="4" t="inlineStr">
        <is>
          <t>Factor de corrección por tuberías (Fp)</t>
        </is>
      </c>
      <c r="D102" s="4" t="inlineStr"/>
      <c r="E102" s="4" t="n">
        <v>0.986</v>
      </c>
      <c r="F102" s="5" t="n"/>
      <c r="G102" s="5" t="n"/>
      <c r="H102" s="6">
        <f>IF(F102="","",(F102-E102)/E102)</f>
        <v/>
      </c>
      <c r="I102" s="4">
        <f>IF(Tolerancias!C5="","",Tolerancias!C5)</f>
        <v/>
      </c>
      <c r="J102" s="4">
        <f>IF(OR(F102="",I102=""),"",IF(ABS(H102)*100&lt;=I102,"OK","Revisar"))</f>
        <v/>
      </c>
      <c r="K102" s="4" t="n"/>
    </row>
    <row r="103">
      <c r="A103" s="4" t="inlineStr">
        <is>
          <t>Caso C · Alta · Agua producida agria</t>
        </is>
      </c>
      <c r="B103" s="4" t="inlineStr">
        <is>
          <t>Mínimo</t>
        </is>
      </c>
      <c r="C103" s="4" t="inlineStr">
        <is>
          <t>Presión diferencial ΔP</t>
        </is>
      </c>
      <c r="D103" s="4" t="inlineStr">
        <is>
          <t>bar</t>
        </is>
      </c>
      <c r="E103" s="4" t="n">
        <v>68.5</v>
      </c>
      <c r="F103" s="5" t="n"/>
      <c r="G103" s="5" t="n"/>
      <c r="H103" s="6">
        <f>IF(F103="","",(F103-E103)/E103)</f>
        <v/>
      </c>
      <c r="I103" s="4">
        <f>IF(Tolerancias!C6="","",Tolerancias!C6)</f>
        <v/>
      </c>
      <c r="J103" s="4">
        <f>IF(OR(F103="",I103=""),"",IF(ABS(H103)*100&lt;=I103,"OK","Revisar"))</f>
        <v/>
      </c>
      <c r="K103" s="4" t="n"/>
    </row>
    <row r="104">
      <c r="A104" s="4" t="inlineStr">
        <is>
          <t>Caso C · Alta · Agua producida agria</t>
        </is>
      </c>
      <c r="B104" s="4" t="inlineStr">
        <is>
          <t>Normal</t>
        </is>
      </c>
      <c r="C104" s="4" t="inlineStr">
        <is>
          <t>Presión diferencial ΔP</t>
        </is>
      </c>
      <c r="D104" s="4" t="inlineStr">
        <is>
          <t>bar</t>
        </is>
      </c>
      <c r="E104" s="4" t="n">
        <v>66.5</v>
      </c>
      <c r="F104" s="5" t="n"/>
      <c r="G104" s="5" t="n"/>
      <c r="H104" s="6">
        <f>IF(F104="","",(F104-E104)/E104)</f>
        <v/>
      </c>
      <c r="I104" s="4">
        <f>IF(Tolerancias!C6="","",Tolerancias!C6)</f>
        <v/>
      </c>
      <c r="J104" s="4">
        <f>IF(OR(F104="",I104=""),"",IF(ABS(H104)*100&lt;=I104,"OK","Revisar"))</f>
        <v/>
      </c>
      <c r="K104" s="4" t="n"/>
    </row>
    <row r="105">
      <c r="A105" s="4" t="inlineStr">
        <is>
          <t>Caso C · Alta · Agua producida agria</t>
        </is>
      </c>
      <c r="B105" s="4" t="inlineStr">
        <is>
          <t>Máximo</t>
        </is>
      </c>
      <c r="C105" s="4" t="inlineStr">
        <is>
          <t>Presión diferencial ΔP</t>
        </is>
      </c>
      <c r="D105" s="4" t="inlineStr">
        <is>
          <t>bar</t>
        </is>
      </c>
      <c r="E105" s="4" t="n">
        <v>64.5</v>
      </c>
      <c r="F105" s="5" t="n"/>
      <c r="G105" s="5" t="n"/>
      <c r="H105" s="6">
        <f>IF(F105="","",(F105-E105)/E105)</f>
        <v/>
      </c>
      <c r="I105" s="4">
        <f>IF(Tolerancias!C6="","",Tolerancias!C6)</f>
        <v/>
      </c>
      <c r="J105" s="4">
        <f>IF(OR(F105="",I105=""),"",IF(ABS(H105)*100&lt;=I105,"OK","Revisar"))</f>
        <v/>
      </c>
      <c r="K105" s="4" t="n"/>
    </row>
    <row r="106">
      <c r="A106" s="4" t="inlineStr">
        <is>
          <t>Caso C · Alta · Agua producida agria</t>
        </is>
      </c>
      <c r="B106" s="4" t="inlineStr">
        <is>
          <t>Tight Shutoff</t>
        </is>
      </c>
      <c r="C106" s="4" t="inlineStr">
        <is>
          <t>Presión diferencial ΔP</t>
        </is>
      </c>
      <c r="D106" s="4" t="inlineStr">
        <is>
          <t>bar</t>
        </is>
      </c>
      <c r="E106" s="4" t="n">
        <v>75</v>
      </c>
      <c r="F106" s="5" t="n"/>
      <c r="G106" s="5" t="n"/>
      <c r="H106" s="6">
        <f>IF(F106="","",(F106-E106)/E106)</f>
        <v/>
      </c>
      <c r="I106" s="4">
        <f>IF(Tolerancias!C6="","",Tolerancias!C6)</f>
        <v/>
      </c>
      <c r="J106" s="4">
        <f>IF(OR(F106="",I106=""),"",IF(ABS(H106)*100&lt;=I106,"OK","Revisar"))</f>
        <v/>
      </c>
      <c r="K106" s="4" t="n"/>
    </row>
    <row r="107">
      <c r="A107" s="4" t="inlineStr">
        <is>
          <t>Caso C · Alta · Agua producida agria</t>
        </is>
      </c>
      <c r="B107" s="4" t="inlineStr">
        <is>
          <t>Mínimo</t>
        </is>
      </c>
      <c r="C107" s="4" t="inlineStr">
        <is>
          <t>Apertura estimada</t>
        </is>
      </c>
      <c r="D107" s="4" t="inlineStr">
        <is>
          <t>%</t>
        </is>
      </c>
      <c r="E107" s="4" t="n">
        <v>8.24</v>
      </c>
      <c r="F107" s="5" t="n"/>
      <c r="G107" s="5" t="n"/>
      <c r="H107" s="7">
        <f>IF(F107="","",F107-E107)</f>
        <v/>
      </c>
      <c r="I107" s="4">
        <f>IF(Tolerancias!C7="","",Tolerancias!C7)</f>
        <v/>
      </c>
      <c r="J107" s="4">
        <f>IF(OR(F107="",I107=""),"",IF(ABS(H107)&lt;=I107,"OK","Revisar"))</f>
        <v/>
      </c>
      <c r="K107" s="4" t="n"/>
    </row>
    <row r="108">
      <c r="A108" s="4" t="inlineStr">
        <is>
          <t>Caso C · Alta · Agua producida agria</t>
        </is>
      </c>
      <c r="B108" s="4" t="inlineStr">
        <is>
          <t>Normal</t>
        </is>
      </c>
      <c r="C108" s="4" t="inlineStr">
        <is>
          <t>Apertura estimada</t>
        </is>
      </c>
      <c r="D108" s="4" t="inlineStr">
        <is>
          <t>%</t>
        </is>
      </c>
      <c r="E108" s="4" t="n">
        <v>28.1</v>
      </c>
      <c r="F108" s="5" t="n"/>
      <c r="G108" s="5" t="n"/>
      <c r="H108" s="7">
        <f>IF(F108="","",F108-E108)</f>
        <v/>
      </c>
      <c r="I108" s="4">
        <f>IF(Tolerancias!C7="","",Tolerancias!C7)</f>
        <v/>
      </c>
      <c r="J108" s="4">
        <f>IF(OR(F108="",I108=""),"",IF(ABS(H108)&lt;=I108,"OK","Revisar"))</f>
        <v/>
      </c>
      <c r="K108" s="4" t="n"/>
    </row>
    <row r="109">
      <c r="A109" s="4" t="inlineStr">
        <is>
          <t>Caso C · Alta · Agua producida agria</t>
        </is>
      </c>
      <c r="B109" s="4" t="inlineStr">
        <is>
          <t>Máximo</t>
        </is>
      </c>
      <c r="C109" s="4" t="inlineStr">
        <is>
          <t>Apertura estimada</t>
        </is>
      </c>
      <c r="D109" s="4" t="inlineStr">
        <is>
          <t>%</t>
        </is>
      </c>
      <c r="E109" s="4" t="n">
        <v>45</v>
      </c>
      <c r="F109" s="5" t="n"/>
      <c r="G109" s="5" t="n"/>
      <c r="H109" s="7">
        <f>IF(F109="","",F109-E109)</f>
        <v/>
      </c>
      <c r="I109" s="4">
        <f>IF(Tolerancias!C7="","",Tolerancias!C7)</f>
        <v/>
      </c>
      <c r="J109" s="4">
        <f>IF(OR(F109="",I109=""),"",IF(ABS(H109)&lt;=I109,"OK","Revisar"))</f>
        <v/>
      </c>
      <c r="K109" s="4" t="n"/>
    </row>
    <row r="110">
      <c r="A110" s="4" t="inlineStr">
        <is>
          <t>Caso C · Alta · Agua producida agria</t>
        </is>
      </c>
      <c r="B110" s="4" t="inlineStr">
        <is>
          <t>Mínimo</t>
        </is>
      </c>
      <c r="C110" s="4" t="inlineStr">
        <is>
          <t>Presión sonora a 1 m (LpAe,1m)</t>
        </is>
      </c>
      <c r="D110" s="4" t="inlineStr">
        <is>
          <t>dB(A)</t>
        </is>
      </c>
      <c r="E110" s="4" t="n">
        <v>86.3</v>
      </c>
      <c r="F110" s="5" t="n"/>
      <c r="G110" s="5" t="n"/>
      <c r="H110" s="7">
        <f>IF(F110="","",F110-E110)</f>
        <v/>
      </c>
      <c r="I110" s="4">
        <f>IF(Tolerancias!C8="","",Tolerancias!C8)</f>
        <v/>
      </c>
      <c r="J110" s="4">
        <f>IF(OR(F110="",I110=""),"",IF(ABS(H110)&lt;=I110,"OK","Revisar"))</f>
        <v/>
      </c>
      <c r="K110" s="4" t="n"/>
    </row>
    <row r="111">
      <c r="A111" s="4" t="inlineStr">
        <is>
          <t>Caso C · Alta · Agua producida agria</t>
        </is>
      </c>
      <c r="B111" s="4" t="inlineStr">
        <is>
          <t>Normal</t>
        </is>
      </c>
      <c r="C111" s="4" t="inlineStr">
        <is>
          <t>Presión sonora a 1 m (LpAe,1m)</t>
        </is>
      </c>
      <c r="D111" s="4" t="inlineStr">
        <is>
          <t>dB(A)</t>
        </is>
      </c>
      <c r="E111" s="4" t="n">
        <v>92.59999999999999</v>
      </c>
      <c r="F111" s="5" t="n"/>
      <c r="G111" s="5" t="n"/>
      <c r="H111" s="7">
        <f>IF(F111="","",F111-E111)</f>
        <v/>
      </c>
      <c r="I111" s="4">
        <f>IF(Tolerancias!C8="","",Tolerancias!C8)</f>
        <v/>
      </c>
      <c r="J111" s="4">
        <f>IF(OR(F111="",I111=""),"",IF(ABS(H111)&lt;=I111,"OK","Revisar"))</f>
        <v/>
      </c>
      <c r="K111" s="4" t="n"/>
    </row>
    <row r="112">
      <c r="A112" s="4" t="inlineStr">
        <is>
          <t>Caso C · Alta · Agua producida agria</t>
        </is>
      </c>
      <c r="B112" s="4" t="inlineStr">
        <is>
          <t>Máximo</t>
        </is>
      </c>
      <c r="C112" s="4" t="inlineStr">
        <is>
          <t>Presión sonora a 1 m (LpAe,1m)</t>
        </is>
      </c>
      <c r="D112" s="4" t="inlineStr">
        <is>
          <t>dB(A)</t>
        </is>
      </c>
      <c r="E112" s="4" t="n">
        <v>95.40000000000001</v>
      </c>
      <c r="F112" s="5" t="n"/>
      <c r="G112" s="5" t="n"/>
      <c r="H112" s="7">
        <f>IF(F112="","",F112-E112)</f>
        <v/>
      </c>
      <c r="I112" s="4">
        <f>IF(Tolerancias!C8="","",Tolerancias!C8)</f>
        <v/>
      </c>
      <c r="J112" s="4">
        <f>IF(OR(F112="",I112=""),"",IF(ABS(H112)&lt;=I112,"OK","Revisar"))</f>
        <v/>
      </c>
      <c r="K112" s="4" t="n"/>
    </row>
    <row r="113">
      <c r="A113" s="4" t="inlineStr">
        <is>
          <t>Caso C · Alta · Agua producida agria</t>
        </is>
      </c>
      <c r="B113" s="4" t="inlineStr">
        <is>
          <t>Mínimo</t>
        </is>
      </c>
      <c r="C113" s="4" t="inlineStr">
        <is>
          <t>Coef. cavitación de la aplicación (Kapp)</t>
        </is>
      </c>
      <c r="D113" s="4" t="inlineStr"/>
      <c r="E113" s="4" t="n">
        <v>0.945</v>
      </c>
      <c r="F113" s="5" t="n"/>
      <c r="G113" s="5" t="n"/>
      <c r="H113" s="6">
        <f>IF(F113="","",(F113-E113)/E113)</f>
        <v/>
      </c>
      <c r="I113" s="4">
        <f>IF(Tolerancias!C13="","",Tolerancias!C13)</f>
        <v/>
      </c>
      <c r="J113" s="4">
        <f>IF(OR(F113="",I113=""),"",IF(ABS(H113)*100&lt;=I113,"OK","Revisar"))</f>
        <v/>
      </c>
      <c r="K113" s="4" t="n"/>
    </row>
    <row r="114">
      <c r="A114" s="4" t="inlineStr">
        <is>
          <t>Caso C · Alta · Agua producida agria</t>
        </is>
      </c>
      <c r="B114" s="4" t="inlineStr">
        <is>
          <t>Normal</t>
        </is>
      </c>
      <c r="C114" s="4" t="inlineStr">
        <is>
          <t>Coef. cavitación de la aplicación (Kapp)</t>
        </is>
      </c>
      <c r="D114" s="4" t="inlineStr"/>
      <c r="E114" s="4" t="n">
        <v>0.944</v>
      </c>
      <c r="F114" s="5" t="n"/>
      <c r="G114" s="5" t="n"/>
      <c r="H114" s="6">
        <f>IF(F114="","",(F114-E114)/E114)</f>
        <v/>
      </c>
      <c r="I114" s="4">
        <f>IF(Tolerancias!C13="","",Tolerancias!C13)</f>
        <v/>
      </c>
      <c r="J114" s="4">
        <f>IF(OR(F114="",I114=""),"",IF(ABS(H114)*100&lt;=I114,"OK","Revisar"))</f>
        <v/>
      </c>
      <c r="K114" s="4" t="n"/>
    </row>
    <row r="115">
      <c r="A115" s="4" t="inlineStr">
        <is>
          <t>Caso C · Alta · Agua producida agria</t>
        </is>
      </c>
      <c r="B115" s="4" t="inlineStr">
        <is>
          <t>Máximo</t>
        </is>
      </c>
      <c r="C115" s="4" t="inlineStr">
        <is>
          <t>Coef. cavitación de la aplicación (Kapp)</t>
        </is>
      </c>
      <c r="D115" s="4" t="inlineStr"/>
      <c r="E115" s="4" t="n">
        <v>0.9419999999999999</v>
      </c>
      <c r="F115" s="5" t="n"/>
      <c r="G115" s="5" t="n"/>
      <c r="H115" s="6">
        <f>IF(F115="","",(F115-E115)/E115)</f>
        <v/>
      </c>
      <c r="I115" s="4">
        <f>IF(Tolerancias!C13="","",Tolerancias!C13)</f>
        <v/>
      </c>
      <c r="J115" s="4">
        <f>IF(OR(F115="",I115=""),"",IF(ABS(H115)*100&lt;=I115,"OK","Revisar"))</f>
        <v/>
      </c>
      <c r="K115" s="4" t="n"/>
    </row>
    <row r="116">
      <c r="A116" s="4" t="inlineStr">
        <is>
          <t>Caso C · Alta · Agua producida agria</t>
        </is>
      </c>
      <c r="B116" s="4" t="inlineStr">
        <is>
          <t>Mínimo</t>
        </is>
      </c>
      <c r="C116" s="4" t="inlineStr">
        <is>
          <t>Inicio de cavitación incipiente (xFzp1)</t>
        </is>
      </c>
      <c r="D116" s="4" t="inlineStr"/>
      <c r="E116" s="4" t="n">
        <v>0.504</v>
      </c>
      <c r="F116" s="5" t="n"/>
      <c r="G116" s="5" t="n"/>
      <c r="H116" s="6">
        <f>IF(F116="","",(F116-E116)/E116)</f>
        <v/>
      </c>
      <c r="I116" s="4">
        <f>IF(Tolerancias!C14="","",Tolerancias!C14)</f>
        <v/>
      </c>
      <c r="J116" s="4">
        <f>IF(OR(F116="",I116=""),"",IF(ABS(H116)*100&lt;=I116,"OK","Revisar"))</f>
        <v/>
      </c>
      <c r="K116" s="4" t="n"/>
    </row>
    <row r="117">
      <c r="A117" s="4" t="inlineStr">
        <is>
          <t>Caso C · Alta · Agua producida agria</t>
        </is>
      </c>
      <c r="B117" s="4" t="inlineStr">
        <is>
          <t>Normal</t>
        </is>
      </c>
      <c r="C117" s="4" t="inlineStr">
        <is>
          <t>Inicio de cavitación incipiente (xFzp1)</t>
        </is>
      </c>
      <c r="D117" s="4" t="inlineStr"/>
      <c r="E117" s="4" t="n">
        <v>0.459</v>
      </c>
      <c r="F117" s="5" t="n"/>
      <c r="G117" s="5" t="n"/>
      <c r="H117" s="6">
        <f>IF(F117="","",(F117-E117)/E117)</f>
        <v/>
      </c>
      <c r="I117" s="4">
        <f>IF(Tolerancias!C14="","",Tolerancias!C14)</f>
        <v/>
      </c>
      <c r="J117" s="4">
        <f>IF(OR(F117="",I117=""),"",IF(ABS(H117)*100&lt;=I117,"OK","Revisar"))</f>
        <v/>
      </c>
      <c r="K117" s="4" t="n"/>
    </row>
    <row r="118">
      <c r="A118" s="4" t="inlineStr">
        <is>
          <t>Caso C · Alta · Agua producida agria</t>
        </is>
      </c>
      <c r="B118" s="4" t="inlineStr">
        <is>
          <t>Máximo</t>
        </is>
      </c>
      <c r="C118" s="4" t="inlineStr">
        <is>
          <t>Inicio de cavitación incipiente (xFzp1)</t>
        </is>
      </c>
      <c r="D118" s="4" t="inlineStr"/>
      <c r="E118" s="4" t="n">
        <v>0.437</v>
      </c>
      <c r="F118" s="5" t="n"/>
      <c r="G118" s="5" t="n"/>
      <c r="H118" s="6">
        <f>IF(F118="","",(F118-E118)/E118)</f>
        <v/>
      </c>
      <c r="I118" s="4">
        <f>IF(Tolerancias!C14="","",Tolerancias!C14)</f>
        <v/>
      </c>
      <c r="J118" s="4">
        <f>IF(OR(F118="",I118=""),"",IF(ABS(H118)*100&lt;=I118,"OK","Revisar"))</f>
        <v/>
      </c>
      <c r="K118" s="4" t="n"/>
    </row>
    <row r="119">
      <c r="A119" s="4" t="inlineStr">
        <is>
          <t>Caso C · Alta · Agua producida agria</t>
        </is>
      </c>
      <c r="B119" s="4" t="inlineStr">
        <is>
          <t>Mínimo</t>
        </is>
      </c>
      <c r="C119" s="4" t="inlineStr">
        <is>
          <t>Factor de recuperación combinado (FLp)</t>
        </is>
      </c>
      <c r="D119" s="4" t="inlineStr"/>
      <c r="E119" s="4" t="n">
        <v>0.929</v>
      </c>
      <c r="F119" s="5" t="n"/>
      <c r="G119" s="5" t="n"/>
      <c r="H119" s="6">
        <f>IF(F119="","",(F119-E119)/E119)</f>
        <v/>
      </c>
      <c r="I119" s="4">
        <f>IF(Tolerancias!C15="","",Tolerancias!C15)</f>
        <v/>
      </c>
      <c r="J119" s="4">
        <f>IF(OR(F119="",I119=""),"",IF(ABS(H119)*100&lt;=I119,"OK","Revisar"))</f>
        <v/>
      </c>
      <c r="K119" s="4" t="n"/>
    </row>
    <row r="120">
      <c r="A120" s="4" t="inlineStr">
        <is>
          <t>Caso C · Alta · Agua producida agria</t>
        </is>
      </c>
      <c r="B120" s="4" t="inlineStr">
        <is>
          <t>Normal</t>
        </is>
      </c>
      <c r="C120" s="4" t="inlineStr">
        <is>
          <t>Factor de recuperación combinado (FLp)</t>
        </is>
      </c>
      <c r="D120" s="4" t="inlineStr"/>
      <c r="E120" s="4" t="n">
        <v>0.924</v>
      </c>
      <c r="F120" s="5" t="n"/>
      <c r="G120" s="5" t="n"/>
      <c r="H120" s="6">
        <f>IF(F120="","",(F120-E120)/E120)</f>
        <v/>
      </c>
      <c r="I120" s="4">
        <f>IF(Tolerancias!C15="","",Tolerancias!C15)</f>
        <v/>
      </c>
      <c r="J120" s="4">
        <f>IF(OR(F120="",I120=""),"",IF(ABS(H120)*100&lt;=I120,"OK","Revisar"))</f>
        <v/>
      </c>
      <c r="K120" s="4" t="n"/>
    </row>
    <row r="121">
      <c r="A121" s="4" t="inlineStr">
        <is>
          <t>Caso C · Alta · Agua producida agria</t>
        </is>
      </c>
      <c r="B121" s="4" t="inlineStr">
        <is>
          <t>Máximo</t>
        </is>
      </c>
      <c r="C121" s="4" t="inlineStr">
        <is>
          <t>Factor de recuperación combinado (FLp)</t>
        </is>
      </c>
      <c r="D121" s="4" t="inlineStr"/>
      <c r="E121" s="4" t="n">
        <v>0.916</v>
      </c>
      <c r="F121" s="5" t="n"/>
      <c r="G121" s="5" t="n"/>
      <c r="H121" s="6">
        <f>IF(F121="","",(F121-E121)/E121)</f>
        <v/>
      </c>
      <c r="I121" s="4">
        <f>IF(Tolerancias!C15="","",Tolerancias!C15)</f>
        <v/>
      </c>
      <c r="J121" s="4">
        <f>IF(OR(F121="",I121=""),"",IF(ABS(H121)*100&lt;=I121,"OK","Revisar"))</f>
        <v/>
      </c>
      <c r="K121" s="4" t="n"/>
    </row>
    <row r="122">
      <c r="A122" s="4" t="inlineStr">
        <is>
          <t>Caso C · Alta · Agua producida agria</t>
        </is>
      </c>
      <c r="B122" s="4" t="inlineStr">
        <is>
          <t>Mínimo</t>
        </is>
      </c>
      <c r="C122" s="4" t="inlineStr">
        <is>
          <t>ΔP para cavitación (ΔP cav)</t>
        </is>
      </c>
      <c r="D122" s="4" t="inlineStr">
        <is>
          <t>bar</t>
        </is>
      </c>
      <c r="E122" s="4" t="n">
        <v>61.61</v>
      </c>
      <c r="F122" s="5" t="n"/>
      <c r="G122" s="5" t="n"/>
      <c r="H122" s="6">
        <f>IF(F122="","",(F122-E122)/E122)</f>
        <v/>
      </c>
      <c r="I122" s="4">
        <f>IF(Tolerancias!C16="","",Tolerancias!C16)</f>
        <v/>
      </c>
      <c r="J122" s="4">
        <f>IF(OR(F122="",I122=""),"",IF(ABS(H122)*100&lt;=I122,"OK","Revisar"))</f>
        <v/>
      </c>
      <c r="K122" s="4" t="n"/>
    </row>
    <row r="123">
      <c r="A123" s="4" t="inlineStr">
        <is>
          <t>Caso C · Alta · Agua producida agria</t>
        </is>
      </c>
      <c r="B123" s="4" t="inlineStr">
        <is>
          <t>Normal</t>
        </is>
      </c>
      <c r="C123" s="4" t="inlineStr">
        <is>
          <t>ΔP para cavitación (ΔP cav)</t>
        </is>
      </c>
      <c r="D123" s="4" t="inlineStr">
        <is>
          <t>bar</t>
        </is>
      </c>
      <c r="E123" s="4" t="n">
        <v>59.91</v>
      </c>
      <c r="F123" s="5" t="n"/>
      <c r="G123" s="5" t="n"/>
      <c r="H123" s="6">
        <f>IF(F123="","",(F123-E123)/E123)</f>
        <v/>
      </c>
      <c r="I123" s="4">
        <f>IF(Tolerancias!C16="","",Tolerancias!C16)</f>
        <v/>
      </c>
      <c r="J123" s="4">
        <f>IF(OR(F123="",I123=""),"",IF(ABS(H123)*100&lt;=I123,"OK","Revisar"))</f>
        <v/>
      </c>
      <c r="K123" s="4" t="n"/>
    </row>
    <row r="124">
      <c r="A124" s="4" t="inlineStr">
        <is>
          <t>Caso C · Alta · Agua producida agria</t>
        </is>
      </c>
      <c r="B124" s="4" t="inlineStr">
        <is>
          <t>Máximo</t>
        </is>
      </c>
      <c r="C124" s="4" t="inlineStr">
        <is>
          <t>ΔP para cavitación (ΔP cav)</t>
        </is>
      </c>
      <c r="D124" s="4" t="inlineStr">
        <is>
          <t>bar</t>
        </is>
      </c>
      <c r="E124" s="4" t="n">
        <v>58.21</v>
      </c>
      <c r="F124" s="5" t="n"/>
      <c r="G124" s="5" t="n"/>
      <c r="H124" s="6">
        <f>IF(F124="","",(F124-E124)/E124)</f>
        <v/>
      </c>
      <c r="I124" s="4">
        <f>IF(Tolerancias!C16="","",Tolerancias!C16)</f>
        <v/>
      </c>
      <c r="J124" s="4">
        <f>IF(OR(F124="",I124=""),"",IF(ABS(H124)*100&lt;=I124,"OK","Revisar"))</f>
        <v/>
      </c>
      <c r="K124" s="4" t="n"/>
    </row>
    <row r="125">
      <c r="A125" s="4" t="inlineStr">
        <is>
          <t>Caso C · Alta · Agua producida agria</t>
        </is>
      </c>
      <c r="B125" s="4" t="inlineStr">
        <is>
          <t>Mínimo</t>
        </is>
      </c>
      <c r="C125" s="4" t="inlineStr">
        <is>
          <t>Densidad de entrada ρ1</t>
        </is>
      </c>
      <c r="D125" s="4" t="inlineStr">
        <is>
          <t>kg/m³</t>
        </is>
      </c>
      <c r="E125" s="4" t="n">
        <v>1062</v>
      </c>
      <c r="F125" s="5" t="n"/>
      <c r="G125" s="5" t="n"/>
      <c r="H125" s="6">
        <f>IF(F125="","",(F125-E125)/E125)</f>
        <v/>
      </c>
      <c r="I125" s="4">
        <f>IF(Tolerancias!C17="","",Tolerancias!C17)</f>
        <v/>
      </c>
      <c r="J125" s="4">
        <f>IF(OR(F125="",I125=""),"",IF(ABS(H125)*100&lt;=I125,"OK","Revisar"))</f>
        <v/>
      </c>
      <c r="K125" s="4" t="n"/>
    </row>
    <row r="126">
      <c r="A126" s="4" t="inlineStr">
        <is>
          <t>Caso C · Alta · Agua producida agria</t>
        </is>
      </c>
      <c r="B126" s="4" t="inlineStr">
        <is>
          <t>Normal</t>
        </is>
      </c>
      <c r="C126" s="4" t="inlineStr">
        <is>
          <t>Densidad de entrada ρ1</t>
        </is>
      </c>
      <c r="D126" s="4" t="inlineStr">
        <is>
          <t>kg/m³</t>
        </is>
      </c>
      <c r="E126" s="4" t="n">
        <v>1062</v>
      </c>
      <c r="F126" s="5" t="n"/>
      <c r="G126" s="5" t="n"/>
      <c r="H126" s="6">
        <f>IF(F126="","",(F126-E126)/E126)</f>
        <v/>
      </c>
      <c r="I126" s="4">
        <f>IF(Tolerancias!C17="","",Tolerancias!C17)</f>
        <v/>
      </c>
      <c r="J126" s="4">
        <f>IF(OR(F126="",I126=""),"",IF(ABS(H126)*100&lt;=I126,"OK","Revisar"))</f>
        <v/>
      </c>
      <c r="K126" s="4" t="n"/>
    </row>
    <row r="127">
      <c r="A127" s="4" t="inlineStr">
        <is>
          <t>Caso C · Alta · Agua producida agria</t>
        </is>
      </c>
      <c r="B127" s="4" t="inlineStr">
        <is>
          <t>Máximo</t>
        </is>
      </c>
      <c r="C127" s="4" t="inlineStr">
        <is>
          <t>Densidad de entrada ρ1</t>
        </is>
      </c>
      <c r="D127" s="4" t="inlineStr">
        <is>
          <t>kg/m³</t>
        </is>
      </c>
      <c r="E127" s="4" t="n">
        <v>1062</v>
      </c>
      <c r="F127" s="5" t="n"/>
      <c r="G127" s="5" t="n"/>
      <c r="H127" s="6">
        <f>IF(F127="","",(F127-E127)/E127)</f>
        <v/>
      </c>
      <c r="I127" s="4">
        <f>IF(Tolerancias!C17="","",Tolerancias!C17)</f>
        <v/>
      </c>
      <c r="J127" s="4">
        <f>IF(OR(F127="",I127=""),"",IF(ABS(H127)*100&lt;=I127,"OK","Revisar"))</f>
        <v/>
      </c>
      <c r="K127" s="4" t="n"/>
    </row>
    <row r="128">
      <c r="A128" s="4" t="inlineStr">
        <is>
          <t>Caso C · Alta · Agua producida agria</t>
        </is>
      </c>
      <c r="B128" s="4" t="inlineStr">
        <is>
          <t>Mínimo</t>
        </is>
      </c>
      <c r="C128" s="4" t="inlineStr">
        <is>
          <t>Velocidad del fluido aguas arriba</t>
        </is>
      </c>
      <c r="D128" s="4" t="inlineStr">
        <is>
          <t>m/s</t>
        </is>
      </c>
      <c r="E128" s="4" t="n">
        <v>1.5</v>
      </c>
      <c r="F128" s="5" t="n"/>
      <c r="G128" s="5" t="n"/>
      <c r="H128" s="6">
        <f>IF(F128="","",(F128-E128)/E128)</f>
        <v/>
      </c>
      <c r="I128" s="4">
        <f>IF(Tolerancias!C20="","",Tolerancias!C20)</f>
        <v/>
      </c>
      <c r="J128" s="4">
        <f>IF(OR(F128="",I128=""),"",IF(ABS(H128)*100&lt;=I128,"OK","Revisar"))</f>
        <v/>
      </c>
      <c r="K128" s="4" t="n"/>
    </row>
    <row r="129">
      <c r="A129" s="4" t="inlineStr">
        <is>
          <t>Caso C · Alta · Agua producida agria</t>
        </is>
      </c>
      <c r="B129" s="4" t="inlineStr">
        <is>
          <t>Normal</t>
        </is>
      </c>
      <c r="C129" s="4" t="inlineStr">
        <is>
          <t>Velocidad del fluido aguas arriba</t>
        </is>
      </c>
      <c r="D129" s="4" t="inlineStr">
        <is>
          <t>m/s</t>
        </is>
      </c>
      <c r="E129" s="4" t="n">
        <v>3.37</v>
      </c>
      <c r="F129" s="5" t="n"/>
      <c r="G129" s="5" t="n"/>
      <c r="H129" s="6">
        <f>IF(F129="","",(F129-E129)/E129)</f>
        <v/>
      </c>
      <c r="I129" s="4">
        <f>IF(Tolerancias!C20="","",Tolerancias!C20)</f>
        <v/>
      </c>
      <c r="J129" s="4">
        <f>IF(OR(F129="",I129=""),"",IF(ABS(H129)*100&lt;=I129,"OK","Revisar"))</f>
        <v/>
      </c>
      <c r="K129" s="4" t="n"/>
    </row>
    <row r="130">
      <c r="A130" s="4" t="inlineStr">
        <is>
          <t>Caso C · Alta · Agua producida agria</t>
        </is>
      </c>
      <c r="B130" s="4" t="inlineStr">
        <is>
          <t>Máximo</t>
        </is>
      </c>
      <c r="C130" s="4" t="inlineStr">
        <is>
          <t>Velocidad del fluido aguas arriba</t>
        </is>
      </c>
      <c r="D130" s="4" t="inlineStr">
        <is>
          <t>m/s</t>
        </is>
      </c>
      <c r="E130" s="4" t="n">
        <v>4.87</v>
      </c>
      <c r="F130" s="5" t="n"/>
      <c r="G130" s="5" t="n"/>
      <c r="H130" s="6">
        <f>IF(F130="","",(F130-E130)/E130)</f>
        <v/>
      </c>
      <c r="I130" s="4">
        <f>IF(Tolerancias!C20="","",Tolerancias!C20)</f>
        <v/>
      </c>
      <c r="J130" s="4">
        <f>IF(OR(F130="",I130=""),"",IF(ABS(H130)*100&lt;=I130,"OK","Revisar"))</f>
        <v/>
      </c>
      <c r="K130" s="4" t="n"/>
    </row>
    <row r="131">
      <c r="A131" s="4" t="inlineStr">
        <is>
          <t>Caso C · Alta · Agua producida agria</t>
        </is>
      </c>
      <c r="B131" s="4" t="inlineStr">
        <is>
          <t>Mínimo</t>
        </is>
      </c>
      <c r="C131" s="4" t="inlineStr">
        <is>
          <t>Velocidad del fluido aguas abajo</t>
        </is>
      </c>
      <c r="D131" s="4" t="inlineStr">
        <is>
          <t>m/s</t>
        </is>
      </c>
      <c r="E131" s="4" t="n">
        <v>0.596</v>
      </c>
      <c r="F131" s="5" t="n"/>
      <c r="G131" s="5" t="n"/>
      <c r="H131" s="6">
        <f>IF(F131="","",(F131-E131)/E131)</f>
        <v/>
      </c>
      <c r="I131" s="4">
        <f>IF(Tolerancias!C21="","",Tolerancias!C21)</f>
        <v/>
      </c>
      <c r="J131" s="4">
        <f>IF(OR(F131="",I131=""),"",IF(ABS(H131)*100&lt;=I131,"OK","Revisar"))</f>
        <v/>
      </c>
      <c r="K131" s="4" t="n"/>
    </row>
    <row r="132">
      <c r="A132" s="4" t="inlineStr">
        <is>
          <t>Caso C · Alta · Agua producida agria</t>
        </is>
      </c>
      <c r="B132" s="4" t="inlineStr">
        <is>
          <t>Normal</t>
        </is>
      </c>
      <c r="C132" s="4" t="inlineStr">
        <is>
          <t>Velocidad del fluido aguas abajo</t>
        </is>
      </c>
      <c r="D132" s="4" t="inlineStr">
        <is>
          <t>m/s</t>
        </is>
      </c>
      <c r="E132" s="4" t="n">
        <v>1.34</v>
      </c>
      <c r="F132" s="5" t="n"/>
      <c r="G132" s="5" t="n"/>
      <c r="H132" s="6">
        <f>IF(F132="","",(F132-E132)/E132)</f>
        <v/>
      </c>
      <c r="I132" s="4">
        <f>IF(Tolerancias!C21="","",Tolerancias!C21)</f>
        <v/>
      </c>
      <c r="J132" s="4">
        <f>IF(OR(F132="",I132=""),"",IF(ABS(H132)*100&lt;=I132,"OK","Revisar"))</f>
        <v/>
      </c>
      <c r="K132" s="4" t="n"/>
    </row>
    <row r="133">
      <c r="A133" s="4" t="inlineStr">
        <is>
          <t>Caso C · Alta · Agua producida agria</t>
        </is>
      </c>
      <c r="B133" s="4" t="inlineStr">
        <is>
          <t>Máximo</t>
        </is>
      </c>
      <c r="C133" s="4" t="inlineStr">
        <is>
          <t>Velocidad del fluido aguas abajo</t>
        </is>
      </c>
      <c r="D133" s="4" t="inlineStr">
        <is>
          <t>m/s</t>
        </is>
      </c>
      <c r="E133" s="4" t="n">
        <v>1.94</v>
      </c>
      <c r="F133" s="5" t="n"/>
      <c r="G133" s="5" t="n"/>
      <c r="H133" s="6">
        <f>IF(F133="","",(F133-E133)/E133)</f>
        <v/>
      </c>
      <c r="I133" s="4">
        <f>IF(Tolerancias!C21="","",Tolerancias!C21)</f>
        <v/>
      </c>
      <c r="J133" s="4">
        <f>IF(OR(F133="",I133=""),"",IF(ABS(H133)*100&lt;=I133,"OK","Revisar"))</f>
        <v/>
      </c>
      <c r="K133" s="4" t="n"/>
    </row>
    <row r="134">
      <c r="A134" s="4" t="inlineStr">
        <is>
          <t>Caso C · Alta · Agua producida agria</t>
        </is>
      </c>
      <c r="B134" s="4" t="inlineStr">
        <is>
          <t>Mínimo</t>
        </is>
      </c>
      <c r="C134" s="4" t="inlineStr">
        <is>
          <t>Número de Reynolds (Rev)</t>
        </is>
      </c>
      <c r="D134" s="4" t="inlineStr"/>
      <c r="E134" s="4" t="n">
        <v>306873</v>
      </c>
      <c r="F134" s="5" t="n"/>
      <c r="G134" s="5" t="n"/>
      <c r="H134" s="6">
        <f>IF(F134="","",(F134-E134)/E134)</f>
        <v/>
      </c>
      <c r="I134" s="4">
        <f>IF(Tolerancias!C23="","",Tolerancias!C23)</f>
        <v/>
      </c>
      <c r="J134" s="4">
        <f>IF(OR(F134="",I134=""),"",IF(ABS(H134)*100&lt;=I134,"OK","Revisar"))</f>
        <v/>
      </c>
      <c r="K134" s="4" t="n"/>
    </row>
    <row r="135">
      <c r="A135" s="4" t="inlineStr">
        <is>
          <t>Caso C · Alta · Agua producida agria</t>
        </is>
      </c>
      <c r="B135" s="4" t="inlineStr">
        <is>
          <t>Normal</t>
        </is>
      </c>
      <c r="C135" s="4" t="inlineStr">
        <is>
          <t>Número de Reynolds (Rev)</t>
        </is>
      </c>
      <c r="D135" s="4" t="inlineStr"/>
      <c r="E135" s="4" t="n">
        <v>455956</v>
      </c>
      <c r="F135" s="5" t="n"/>
      <c r="G135" s="5" t="n"/>
      <c r="H135" s="6">
        <f>IF(F135="","",(F135-E135)/E135)</f>
        <v/>
      </c>
      <c r="I135" s="4">
        <f>IF(Tolerancias!C23="","",Tolerancias!C23)</f>
        <v/>
      </c>
      <c r="J135" s="4">
        <f>IF(OR(F135="",I135=""),"",IF(ABS(H135)*100&lt;=I135,"OK","Revisar"))</f>
        <v/>
      </c>
      <c r="K135" s="4" t="n"/>
    </row>
    <row r="136">
      <c r="A136" s="4" t="inlineStr">
        <is>
          <t>Caso C · Alta · Agua producida agria</t>
        </is>
      </c>
      <c r="B136" s="4" t="inlineStr">
        <is>
          <t>Máximo</t>
        </is>
      </c>
      <c r="C136" s="4" t="inlineStr">
        <is>
          <t>Número de Reynolds (Rev)</t>
        </is>
      </c>
      <c r="D136" s="4" t="inlineStr"/>
      <c r="E136" s="4" t="n">
        <v>542082</v>
      </c>
      <c r="F136" s="5" t="n"/>
      <c r="G136" s="5" t="n"/>
      <c r="H136" s="6">
        <f>IF(F136="","",(F136-E136)/E136)</f>
        <v/>
      </c>
      <c r="I136" s="4">
        <f>IF(Tolerancias!C23="","",Tolerancias!C23)</f>
        <v/>
      </c>
      <c r="J136" s="4">
        <f>IF(OR(F136="",I136=""),"",IF(ABS(H136)*100&lt;=I136,"OK","Revisar"))</f>
        <v/>
      </c>
      <c r="K136" s="4" t="n"/>
    </row>
  </sheetData>
  <autoFilter ref="A1:K136"/>
  <conditionalFormatting sqref="J2:J137">
    <cfRule type="expression" priority="1" dxfId="0">
      <formula>J2="OK"</formula>
    </cfRule>
    <cfRule type="expression" priority="2" dxfId="1">
      <formula>J2="Revisar"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0" customWidth="1" min="4" max="4"/>
    <col width="80" customWidth="1" min="5" max="5"/>
  </cols>
  <sheetData>
    <row r="1">
      <c r="A1" s="3" t="inlineStr">
        <is>
          <t>Clave</t>
        </is>
      </c>
      <c r="B1" s="3" t="inlineStr">
        <is>
          <t>Variable</t>
        </is>
      </c>
      <c r="C1" s="3" t="inlineStr">
        <is>
          <t>Tolerancia</t>
        </is>
      </c>
      <c r="D1" s="3" t="inlineStr">
        <is>
          <t>Unidad</t>
        </is>
      </c>
      <c r="E1" s="3" t="inlineStr">
        <is>
          <t>Comentario</t>
        </is>
      </c>
    </row>
    <row r="2">
      <c r="A2" s="4" t="inlineStr">
        <is>
          <t>Cv</t>
        </is>
      </c>
      <c r="B2" s="4" t="inlineStr">
        <is>
          <t>Coeficiente de flujo Cv</t>
        </is>
      </c>
      <c r="C2" s="4" t="n">
        <v>2</v>
      </c>
      <c r="D2" s="4" t="inlineStr">
        <is>
          <t>%</t>
        </is>
      </c>
      <c r="E2" s="4" t="inlineStr">
        <is>
          <t>Con los mismos FL, xT, Fd y diámetros.</t>
        </is>
      </c>
    </row>
    <row r="3">
      <c r="A3" s="4" t="inlineStr">
        <is>
          <t>Y</t>
        </is>
      </c>
      <c r="B3" s="4" t="inlineStr">
        <is>
          <t>Factor de expansión Y</t>
        </is>
      </c>
      <c r="C3" s="4" t="n">
        <v>1</v>
      </c>
      <c r="D3" s="4" t="inlineStr">
        <is>
          <t>%</t>
        </is>
      </c>
      <c r="E3" s="4" t="inlineStr">
        <is>
          <t>Gas, vapor y steam.</t>
        </is>
      </c>
    </row>
    <row r="4">
      <c r="A4" s="4" t="inlineStr">
        <is>
          <t>dPchoked</t>
        </is>
      </c>
      <c r="B4" s="4" t="inlineStr">
        <is>
          <t>ΔP de flujo estrangulado</t>
        </is>
      </c>
      <c r="C4" s="4" t="n">
        <v>2</v>
      </c>
      <c r="D4" s="4" t="inlineStr">
        <is>
          <t>%</t>
        </is>
      </c>
      <c r="E4" s="4" t="inlineStr"/>
    </row>
    <row r="5">
      <c r="A5" s="4" t="inlineStr">
        <is>
          <t>FP</t>
        </is>
      </c>
      <c r="B5" s="4" t="inlineStr">
        <is>
          <t>Factor de tuberías Fp</t>
        </is>
      </c>
      <c r="C5" s="4" t="n">
        <v>1</v>
      </c>
      <c r="D5" s="4" t="inlineStr">
        <is>
          <t>%</t>
        </is>
      </c>
      <c r="E5" s="4" t="inlineStr">
        <is>
          <t>Con reductores la norma itera; hasta 1 % es normal.</t>
        </is>
      </c>
    </row>
    <row r="6">
      <c r="A6" s="4" t="inlineStr">
        <is>
          <t>dP</t>
        </is>
      </c>
      <c r="B6" s="4" t="inlineStr">
        <is>
          <t>Presión diferencial</t>
        </is>
      </c>
      <c r="C6" s="4" t="n">
        <v>0.5</v>
      </c>
      <c r="D6" s="4" t="inlineStr">
        <is>
          <t>%</t>
        </is>
      </c>
      <c r="E6" s="4" t="inlineStr">
        <is>
          <t>Debe coincidir: es dato de entrada.</t>
        </is>
      </c>
    </row>
    <row r="7">
      <c r="A7" s="4" t="inlineStr">
        <is>
          <t>apertura</t>
        </is>
      </c>
      <c r="B7" s="4" t="inlineStr">
        <is>
          <t>Apertura estimada</t>
        </is>
      </c>
      <c r="C7" s="4" t="n">
        <v>5</v>
      </c>
      <c r="D7" s="4" t="inlineStr">
        <is>
          <t>puntos</t>
        </is>
      </c>
      <c r="E7" s="4" t="inlineStr">
        <is>
          <t>Depende de la curva de cada fabricante; informativa.</t>
        </is>
      </c>
    </row>
    <row r="8">
      <c r="A8" s="4" t="inlineStr">
        <is>
          <t>Lp</t>
        </is>
      </c>
      <c r="B8" s="4" t="inlineStr">
        <is>
          <t>Ruido LpA a 1 m (líquido)</t>
        </is>
      </c>
      <c r="C8" s="4" t="n">
        <v>3</v>
      </c>
      <c r="D8" s="4" t="inlineStr">
        <is>
          <t>dB</t>
        </is>
      </c>
      <c r="E8" s="4" t="inlineStr">
        <is>
          <t>IEC 60534-8-4; entre implementaciones 1 a 3 dB es normal.</t>
        </is>
      </c>
    </row>
    <row r="9">
      <c r="A9" s="4" t="inlineStr">
        <is>
          <t>Lp_g</t>
        </is>
      </c>
      <c r="B9" s="4" t="inlineStr">
        <is>
          <t>Ruido LpA a 1 m (gas)</t>
        </is>
      </c>
      <c r="C9" s="4" t="n">
        <v>3</v>
      </c>
      <c r="D9" s="4" t="inlineStr">
        <is>
          <t>dB</t>
        </is>
      </c>
      <c r="E9" s="4" t="inlineStr">
        <is>
          <t>IEC 60534-8-3; verificar que el otro software use la misma norma.</t>
        </is>
      </c>
    </row>
    <row r="10">
      <c r="A10" s="4" t="inlineStr">
        <is>
          <t>Ma_valvula</t>
        </is>
      </c>
      <c r="B10" s="4" t="inlineStr">
        <is>
          <t>Mach en la salida de la válvula</t>
        </is>
      </c>
      <c r="C10" s="4" t="n">
        <v>5</v>
      </c>
      <c r="D10" s="4" t="inlineStr">
        <is>
          <t>%</t>
        </is>
      </c>
      <c r="E10" s="4" t="inlineStr">
        <is>
          <t>Depende del área de salida considerada.</t>
        </is>
      </c>
    </row>
    <row r="11">
      <c r="A11" s="4" t="inlineStr">
        <is>
          <t>v_valvula</t>
        </is>
      </c>
      <c r="B11" s="4" t="inlineStr">
        <is>
          <t>Velocidad en la salida de la válvula</t>
        </is>
      </c>
      <c r="C11" s="4" t="n">
        <v>5</v>
      </c>
      <c r="D11" s="4" t="inlineStr">
        <is>
          <t>%</t>
        </is>
      </c>
      <c r="E11" s="4" t="inlineStr"/>
    </row>
    <row r="12">
      <c r="A12" s="4" t="inlineStr">
        <is>
          <t>sobrecalentamiento2</t>
        </is>
      </c>
      <c r="B12" s="4" t="inlineStr">
        <is>
          <t>Sobrecalentamiento a P2</t>
        </is>
      </c>
      <c r="C12" s="4" t="n">
        <v>2</v>
      </c>
      <c r="D12" s="4" t="inlineStr">
        <is>
          <t>°C</t>
        </is>
      </c>
      <c r="E12" s="4" t="inlineStr">
        <is>
          <t>Steam (IAPWS-95).</t>
        </is>
      </c>
    </row>
    <row r="13">
      <c r="A13" s="4" t="inlineStr">
        <is>
          <t>Kapp</t>
        </is>
      </c>
      <c r="B13" s="4" t="inlineStr">
        <is>
          <t>Coeficiente de cavitación Kapp</t>
        </is>
      </c>
      <c r="C13" s="4" t="n">
        <v>1</v>
      </c>
      <c r="D13" s="4" t="inlineStr">
        <is>
          <t>%</t>
        </is>
      </c>
      <c r="E13" s="4" t="inlineStr">
        <is>
          <t>Dato derivado de ΔP, P1 y Pv.</t>
        </is>
      </c>
    </row>
    <row r="14">
      <c r="A14" s="4" t="inlineStr">
        <is>
          <t>xFzp1</t>
        </is>
      </c>
      <c r="B14" s="4" t="inlineStr">
        <is>
          <t>Inicio de cavitación xFzp1</t>
        </is>
      </c>
      <c r="C14" s="4" t="n">
        <v>5</v>
      </c>
      <c r="D14" s="4" t="inlineStr">
        <is>
          <t>%</t>
        </is>
      </c>
      <c r="E14" s="4" t="inlineStr">
        <is>
          <t>IEC 60534-8-4; muchos programas no lo informan.</t>
        </is>
      </c>
    </row>
    <row r="15">
      <c r="A15" s="4" t="inlineStr">
        <is>
          <t>FLP</t>
        </is>
      </c>
      <c r="B15" s="4" t="inlineStr">
        <is>
          <t>Factor FLp</t>
        </is>
      </c>
      <c r="C15" s="4" t="n">
        <v>1</v>
      </c>
      <c r="D15" s="4" t="inlineStr">
        <is>
          <t>%</t>
        </is>
      </c>
      <c r="E15" s="4" t="inlineStr">
        <is>
          <t>Con reductores.</t>
        </is>
      </c>
    </row>
    <row r="16">
      <c r="A16" s="4" t="inlineStr">
        <is>
          <t>dPcav</t>
        </is>
      </c>
      <c r="B16" s="4" t="inlineStr">
        <is>
          <t>ΔP de cavitación</t>
        </is>
      </c>
      <c r="C16" s="4" t="n">
        <v>3</v>
      </c>
      <c r="D16" s="4" t="inlineStr">
        <is>
          <t>%</t>
        </is>
      </c>
      <c r="E16" s="4" t="inlineStr">
        <is>
          <t>Depende de Kc o xFz.</t>
        </is>
      </c>
    </row>
    <row r="17">
      <c r="A17" s="4" t="inlineStr">
        <is>
          <t>rho</t>
        </is>
      </c>
      <c r="B17" s="4" t="inlineStr">
        <is>
          <t>Densidad de entrada</t>
        </is>
      </c>
      <c r="C17" s="4" t="n">
        <v>1</v>
      </c>
      <c r="D17" s="4" t="inlineStr">
        <is>
          <t>%</t>
        </is>
      </c>
      <c r="E17" s="4" t="inlineStr">
        <is>
          <t>Propiedades del fluido.</t>
        </is>
      </c>
    </row>
    <row r="18">
      <c r="A18" s="4" t="inlineStr">
        <is>
          <t>rho2</t>
        </is>
      </c>
      <c r="B18" s="4" t="inlineStr">
        <is>
          <t>Densidad de salida</t>
        </is>
      </c>
      <c r="C18" s="4" t="n">
        <v>2</v>
      </c>
      <c r="D18" s="4" t="inlineStr">
        <is>
          <t>%</t>
        </is>
      </c>
      <c r="E18" s="4" t="inlineStr">
        <is>
          <t>Steam.</t>
        </is>
      </c>
    </row>
    <row r="19">
      <c r="A19" s="4" t="inlineStr">
        <is>
          <t>xTP</t>
        </is>
      </c>
      <c r="B19" s="4" t="inlineStr">
        <is>
          <t>xTP</t>
        </is>
      </c>
      <c r="C19" s="4" t="n">
        <v>1</v>
      </c>
      <c r="D19" s="4" t="inlineStr">
        <is>
          <t>%</t>
        </is>
      </c>
      <c r="E19" s="4" t="inlineStr">
        <is>
          <t>Con reductores.</t>
        </is>
      </c>
    </row>
    <row r="20">
      <c r="A20" s="4" t="inlineStr">
        <is>
          <t>v1</t>
        </is>
      </c>
      <c r="B20" s="4" t="inlineStr">
        <is>
          <t>Velocidad aguas arriba (líquido)</t>
        </is>
      </c>
      <c r="C20" s="4" t="n">
        <v>3</v>
      </c>
      <c r="D20" s="4" t="inlineStr">
        <is>
          <t>%</t>
        </is>
      </c>
      <c r="E20" s="4" t="inlineStr"/>
    </row>
    <row r="21">
      <c r="A21" s="4" t="inlineStr">
        <is>
          <t>v2</t>
        </is>
      </c>
      <c r="B21" s="4" t="inlineStr">
        <is>
          <t>Velocidad aguas abajo (líquido)</t>
        </is>
      </c>
      <c r="C21" s="4" t="n">
        <v>3</v>
      </c>
      <c r="D21" s="4" t="inlineStr">
        <is>
          <t>%</t>
        </is>
      </c>
      <c r="E21" s="4" t="inlineStr"/>
    </row>
    <row r="22">
      <c r="A22" s="4" t="inlineStr">
        <is>
          <t>v2_g</t>
        </is>
      </c>
      <c r="B22" s="4" t="inlineStr">
        <is>
          <t>Velocidad aguas abajo (gas)</t>
        </is>
      </c>
      <c r="C22" s="4" t="n">
        <v>3</v>
      </c>
      <c r="D22" s="4" t="inlineStr">
        <is>
          <t>%</t>
        </is>
      </c>
      <c r="E22" s="4" t="inlineStr"/>
    </row>
    <row r="23">
      <c r="A23" s="4" t="inlineStr">
        <is>
          <t>Rev</t>
        </is>
      </c>
      <c r="B23" s="4" t="inlineStr">
        <is>
          <t>Número de Reynolds</t>
        </is>
      </c>
      <c r="C23" s="4" t="n"/>
      <c r="D23" s="4" t="inlineStr"/>
      <c r="E23" s="4" t="inlineStr">
        <is>
          <t>Informativo: cada software usa una convención; no cambia el Cv si Rev &gt; 10 000.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2" customWidth="1" min="3" max="3"/>
    <col width="44" customWidth="1" min="4" max="4"/>
    <col width="12" customWidth="1" min="5" max="5"/>
    <col width="45" customWidth="1" min="6" max="6"/>
  </cols>
  <sheetData>
    <row r="1">
      <c r="A1" s="3" t="inlineStr">
        <is>
          <t>Caso</t>
        </is>
      </c>
      <c r="B1" s="3" t="inlineStr">
        <is>
          <t>Componente</t>
        </is>
      </c>
      <c r="C1" s="3" t="inlineStr">
        <is>
          <t>Recomendación N25 Valves Sizing</t>
        </is>
      </c>
      <c r="D1" s="3" t="inlineStr">
        <is>
          <t>Especificación de su empresa o del fabricante</t>
        </is>
      </c>
      <c r="E1" s="3" t="inlineStr">
        <is>
          <t>¿Coincide?</t>
        </is>
      </c>
      <c r="F1" s="3" t="inlineStr">
        <is>
          <t>Observaciones</t>
        </is>
      </c>
    </row>
    <row r="2">
      <c r="A2" s="8" t="inlineStr">
        <is>
          <t>Caso A · Baja · Agua de enfriamiento</t>
        </is>
      </c>
      <c r="B2" s="8" t="inlineStr">
        <is>
          <t>Cuerpo</t>
        </is>
      </c>
      <c r="C2" s="8" t="inlineStr">
        <is>
          <t>ASTM A216 WCB — acero al carbono fundido · 150 HB</t>
        </is>
      </c>
      <c r="D2" s="5" t="n"/>
      <c r="E2" s="5" t="n"/>
      <c r="F2" s="5" t="n"/>
    </row>
    <row r="3">
      <c r="A3" s="8" t="inlineStr">
        <is>
          <t>Caso A · Baja · Agua de enfriamiento</t>
        </is>
      </c>
      <c r="B3" s="8" t="inlineStr">
        <is>
          <t>Tapa / brida de eje</t>
        </is>
      </c>
      <c r="C3" s="8" t="inlineStr">
        <is>
          <t>ASTM A216 WCB — acero al carbono fundido · 150 HB</t>
        </is>
      </c>
      <c r="D3" s="5" t="n"/>
      <c r="E3" s="5" t="n"/>
      <c r="F3" s="5" t="n"/>
    </row>
    <row r="4">
      <c r="A4" s="8" t="inlineStr">
        <is>
          <t>Caso A · Baja · Agua de enfriamiento</t>
        </is>
      </c>
      <c r="B4" s="8" t="inlineStr">
        <is>
          <t>Anillo de asiento</t>
        </is>
      </c>
      <c r="C4" s="8" t="inlineStr">
        <is>
          <t>17-4PH H900 (40–47 HRC) · 44 HRC (≈ 411 HB)</t>
        </is>
      </c>
      <c r="D4" s="5" t="n"/>
      <c r="E4" s="5" t="n"/>
      <c r="F4" s="5" t="n"/>
    </row>
    <row r="5">
      <c r="A5" s="8" t="inlineStr">
        <is>
          <t>Caso A · Baja · Agua de enfriamiento</t>
        </is>
      </c>
      <c r="B5" s="8" t="inlineStr">
        <is>
          <t>Cojinetes del eje</t>
        </is>
      </c>
      <c r="C5" s="8" t="inlineStr">
        <is>
          <t>17-4PH H1150D (≤ 33 HRC, NACE) · 30 HRC (≈ 286 HB)</t>
        </is>
      </c>
      <c r="D5" s="5" t="n"/>
      <c r="E5" s="5" t="n"/>
      <c r="F5" s="5" t="n"/>
    </row>
    <row r="6">
      <c r="A6" s="8" t="inlineStr">
        <is>
          <t>Caso A · Baja · Agua de enfriamiento</t>
        </is>
      </c>
      <c r="B6" s="8" t="inlineStr">
        <is>
          <t>Bola / disco / obturador</t>
        </is>
      </c>
      <c r="C6" s="8" t="inlineStr">
        <is>
          <t>17-4PH H1075 (≈ 33–38 HRC) · 35 HRC (≈ 327 HB)</t>
        </is>
      </c>
      <c r="D6" s="5" t="n"/>
      <c r="E6" s="5" t="n"/>
      <c r="F6" s="5" t="n"/>
    </row>
    <row r="7">
      <c r="A7" s="8" t="inlineStr">
        <is>
          <t>Caso A · Baja · Agua de enfriamiento</t>
        </is>
      </c>
      <c r="B7" s="8" t="inlineStr">
        <is>
          <t>Eje</t>
        </is>
      </c>
      <c r="C7" s="8" t="inlineStr">
        <is>
          <t>Inoxidable 316 / 316L (A479, A276) · 150 HB</t>
        </is>
      </c>
      <c r="D7" s="5" t="n"/>
      <c r="E7" s="5" t="n"/>
      <c r="F7" s="5" t="n"/>
    </row>
    <row r="8">
      <c r="A8" s="8" t="inlineStr">
        <is>
          <t>Caso A · Baja · Agua de enfriamiento</t>
        </is>
      </c>
      <c r="B8" s="8" t="inlineStr">
        <is>
          <t>Empaquetadura</t>
        </is>
      </c>
      <c r="C8" s="8" t="inlineStr">
        <is>
          <t>Anillos en V de PTFE, simple, con resorte</t>
        </is>
      </c>
      <c r="D8" s="5" t="n"/>
      <c r="E8" s="5" t="n"/>
      <c r="F8" s="5" t="n"/>
    </row>
    <row r="9">
      <c r="A9" s="8" t="inlineStr">
        <is>
          <t>Caso A · Baja · Agua de enfriamiento</t>
        </is>
      </c>
      <c r="B9" s="8" t="inlineStr">
        <is>
          <t>Tipo de bonete</t>
        </is>
      </c>
      <c r="C9" s="8" t="inlineStr">
        <is>
          <t>Estándar (prensaestopas del eje)</t>
        </is>
      </c>
      <c r="D9" s="5" t="n"/>
      <c r="E9" s="5" t="n"/>
      <c r="F9" s="5" t="n"/>
    </row>
    <row r="10">
      <c r="A10" s="8" t="inlineStr">
        <is>
          <t>Caso A · Baja · Agua de enfriamiento</t>
        </is>
      </c>
      <c r="B10" s="8" t="inlineStr">
        <is>
          <t>Emisión fugitiva</t>
        </is>
      </c>
      <c r="C10" s="8" t="inlineStr">
        <is>
          <t>estándar</t>
        </is>
      </c>
      <c r="D10" s="5" t="n"/>
      <c r="E10" s="5" t="n"/>
      <c r="F10" s="5" t="n"/>
    </row>
    <row r="11">
      <c r="A11" s="8" t="inlineStr">
        <is>
          <t>Caso A · Baja · Agua de enfriamiento</t>
        </is>
      </c>
      <c r="B11" s="8" t="inlineStr">
        <is>
          <t>Servicio agrio / norma</t>
        </is>
      </c>
      <c r="C11" s="8" t="inlineStr">
        <is>
          <t>No · No aplica</t>
        </is>
      </c>
      <c r="D11" s="5" t="n"/>
      <c r="E11" s="5" t="n"/>
      <c r="F11" s="5" t="n"/>
    </row>
    <row r="12">
      <c r="A12" s="8" t="inlineStr">
        <is>
          <t>Caso B · Media · Vapor sobrecalentado</t>
        </is>
      </c>
      <c r="B12" s="8" t="inlineStr">
        <is>
          <t>Cuerpo</t>
        </is>
      </c>
      <c r="C12" s="8" t="inlineStr">
        <is>
          <t>ASTM A217 WC6 — acero 1¼Cr-½Mo fundido · 170 HB</t>
        </is>
      </c>
      <c r="D12" s="5" t="n"/>
      <c r="E12" s="5" t="n"/>
      <c r="F12" s="5" t="n"/>
    </row>
    <row r="13">
      <c r="A13" s="8" t="inlineStr">
        <is>
          <t>Caso B · Media · Vapor sobrecalentado</t>
        </is>
      </c>
      <c r="B13" s="8" t="inlineStr">
        <is>
          <t>Bonete</t>
        </is>
      </c>
      <c r="C13" s="8" t="inlineStr">
        <is>
          <t>ASTM A217 WC6 — acero 1¼Cr-½Mo fundido · 170 HB</t>
        </is>
      </c>
      <c r="D13" s="5" t="n"/>
      <c r="E13" s="5" t="n"/>
      <c r="F13" s="5" t="n"/>
    </row>
    <row r="14">
      <c r="A14" s="8" t="inlineStr">
        <is>
          <t>Caso B · Media · Vapor sobrecalentado</t>
        </is>
      </c>
      <c r="B14" s="8" t="inlineStr">
        <is>
          <t>Asiento</t>
        </is>
      </c>
      <c r="C14" s="8" t="inlineStr">
        <is>
          <t>316 con recargue de Stellite 6 (asiento y/o superficie de guiado) · 40 HRC (≈ 371 HB)</t>
        </is>
      </c>
      <c r="D14" s="5" t="n"/>
      <c r="E14" s="5" t="n"/>
      <c r="F14" s="5" t="n"/>
    </row>
    <row r="15">
      <c r="A15" s="8" t="inlineStr">
        <is>
          <t>Caso B · Media · Vapor sobrecalentado</t>
        </is>
      </c>
      <c r="B15" s="8" t="inlineStr">
        <is>
          <t>Jaula caracterizada</t>
        </is>
      </c>
      <c r="C15" s="8" t="inlineStr">
        <is>
          <t>Inoxidable 316 / 316L (A479, A276) · 150 HB</t>
        </is>
      </c>
      <c r="D15" s="5" t="n"/>
      <c r="E15" s="5" t="n"/>
      <c r="F15" s="5" t="n"/>
    </row>
    <row r="16">
      <c r="A16" s="8" t="inlineStr">
        <is>
          <t>Caso B · Media · Vapor sobrecalentado</t>
        </is>
      </c>
      <c r="B16" s="8" t="inlineStr">
        <is>
          <t>Obturador</t>
        </is>
      </c>
      <c r="C16" s="8" t="inlineStr">
        <is>
          <t>316 con recargue de Stellite 6 (asiento y/o superficie de guiado) · 40 HRC (≈ 371 HB)</t>
        </is>
      </c>
      <c r="D16" s="5" t="n"/>
      <c r="E16" s="5" t="n"/>
      <c r="F16" s="5" t="n"/>
    </row>
    <row r="17">
      <c r="A17" s="8" t="inlineStr">
        <is>
          <t>Caso B · Media · Vapor sobrecalentado</t>
        </is>
      </c>
      <c r="B17" s="8" t="inlineStr">
        <is>
          <t>Vástago</t>
        </is>
      </c>
      <c r="C17" s="8" t="inlineStr">
        <is>
          <t>Inoxidable 316 / 316L (A479, A276) · 150 HB</t>
        </is>
      </c>
      <c r="D17" s="5" t="n"/>
      <c r="E17" s="5" t="n"/>
      <c r="F17" s="5" t="n"/>
    </row>
    <row r="18">
      <c r="A18" s="8" t="inlineStr">
        <is>
          <t>Caso B · Media · Vapor sobrecalentado</t>
        </is>
      </c>
      <c r="B18" s="8" t="inlineStr">
        <is>
          <t>Empaquetadura</t>
        </is>
      </c>
      <c r="C18" s="8" t="inlineStr">
        <is>
          <t>Grafito simple: cinta moldeada + trenzas de carbono antiextrusión</t>
        </is>
      </c>
      <c r="D18" s="5" t="n"/>
      <c r="E18" s="5" t="n"/>
      <c r="F18" s="5" t="n"/>
    </row>
    <row r="19">
      <c r="A19" s="8" t="inlineStr">
        <is>
          <t>Caso B · Media · Vapor sobrecalentado</t>
        </is>
      </c>
      <c r="B19" s="8" t="inlineStr">
        <is>
          <t>Tipo de bonete</t>
        </is>
      </c>
      <c r="C19" s="8" t="inlineStr">
        <is>
          <t>Prolongado con aletas para alta temperatura (bonete)</t>
        </is>
      </c>
      <c r="D19" s="5" t="n"/>
      <c r="E19" s="5" t="n"/>
      <c r="F19" s="5" t="n"/>
    </row>
    <row r="20">
      <c r="A20" s="8" t="inlineStr">
        <is>
          <t>Caso B · Media · Vapor sobrecalentado</t>
        </is>
      </c>
      <c r="B20" s="8" t="inlineStr">
        <is>
          <t>Emisión fugitiva</t>
        </is>
      </c>
      <c r="C20" s="8" t="inlineStr">
        <is>
          <t>estándar</t>
        </is>
      </c>
      <c r="D20" s="5" t="n"/>
      <c r="E20" s="5" t="n"/>
      <c r="F20" s="5" t="n"/>
    </row>
    <row r="21">
      <c r="A21" s="8" t="inlineStr">
        <is>
          <t>Caso B · Media · Vapor sobrecalentado</t>
        </is>
      </c>
      <c r="B21" s="8" t="inlineStr">
        <is>
          <t>Servicio agrio / norma</t>
        </is>
      </c>
      <c r="C21" s="8" t="inlineStr">
        <is>
          <t>No · No aplica</t>
        </is>
      </c>
      <c r="D21" s="5" t="n"/>
      <c r="E21" s="5" t="n"/>
      <c r="F21" s="5" t="n"/>
    </row>
    <row r="22">
      <c r="A22" s="8" t="inlineStr">
        <is>
          <t>Caso C · Alta · Agua producida agria</t>
        </is>
      </c>
      <c r="B22" s="8" t="inlineStr">
        <is>
          <t>Cuerpo</t>
        </is>
      </c>
      <c r="C22" s="8" t="inlineStr">
        <is>
          <t>ASTM A494 CW6MC — Inconel 625 fundido · 190 HB</t>
        </is>
      </c>
      <c r="D22" s="5" t="n"/>
      <c r="E22" s="5" t="n"/>
      <c r="F22" s="5" t="n"/>
    </row>
    <row r="23">
      <c r="A23" s="8" t="inlineStr">
        <is>
          <t>Caso C · Alta · Agua producida agria</t>
        </is>
      </c>
      <c r="B23" s="8" t="inlineStr">
        <is>
          <t>Bonete</t>
        </is>
      </c>
      <c r="C23" s="8" t="inlineStr">
        <is>
          <t>ASTM A494 CW6MC — Inconel 625 fundido · 190 HB</t>
        </is>
      </c>
      <c r="D23" s="5" t="n"/>
      <c r="E23" s="5" t="n"/>
      <c r="F23" s="5" t="n"/>
    </row>
    <row r="24">
      <c r="A24" s="8" t="inlineStr">
        <is>
          <t>Caso C · Alta · Agua producida agria</t>
        </is>
      </c>
      <c r="B24" s="8" t="inlineStr">
        <is>
          <t>Asiento</t>
        </is>
      </c>
      <c r="C24" s="8" t="inlineStr">
        <is>
          <t>Carburo de tungsteno con ligante de níquel (inserto) · 70 HRC</t>
        </is>
      </c>
      <c r="D24" s="5" t="n"/>
      <c r="E24" s="5" t="n"/>
      <c r="F24" s="5" t="n"/>
    </row>
    <row r="25">
      <c r="A25" s="8" t="inlineStr">
        <is>
          <t>Caso C · Alta · Agua producida agria</t>
        </is>
      </c>
      <c r="B25" s="8" t="inlineStr">
        <is>
          <t>Jaula caracterizada</t>
        </is>
      </c>
      <c r="C25" s="8" t="inlineStr">
        <is>
          <t>Carburo de tungsteno con ligante de níquel (inserto) · 70 HRC</t>
        </is>
      </c>
      <c r="D25" s="5" t="n"/>
      <c r="E25" s="5" t="n"/>
      <c r="F25" s="5" t="n"/>
    </row>
    <row r="26">
      <c r="A26" s="8" t="inlineStr">
        <is>
          <t>Caso C · Alta · Agua producida agria</t>
        </is>
      </c>
      <c r="B26" s="8" t="inlineStr">
        <is>
          <t>Obturador</t>
        </is>
      </c>
      <c r="C26" s="8" t="inlineStr">
        <is>
          <t>Carburo de tungsteno con ligante de níquel (inserto) · 70 HRC</t>
        </is>
      </c>
      <c r="D26" s="5" t="n"/>
      <c r="E26" s="5" t="n"/>
      <c r="F26" s="5" t="n"/>
    </row>
    <row r="27">
      <c r="A27" s="8" t="inlineStr">
        <is>
          <t>Caso C · Alta · Agua producida agria</t>
        </is>
      </c>
      <c r="B27" s="8" t="inlineStr">
        <is>
          <t>Vástago</t>
        </is>
      </c>
      <c r="C27" s="8" t="inlineStr">
        <is>
          <t>Inconel 625 (N06625) barra · 200 HB</t>
        </is>
      </c>
      <c r="D27" s="5" t="n"/>
      <c r="E27" s="5" t="n"/>
      <c r="F27" s="5" t="n"/>
    </row>
    <row r="28">
      <c r="A28" s="8" t="inlineStr">
        <is>
          <t>Caso C · Alta · Agua producida agria</t>
        </is>
      </c>
      <c r="B28" s="8" t="inlineStr">
        <is>
          <t>Empaquetadura</t>
        </is>
      </c>
      <c r="C28" s="8" t="inlineStr">
        <is>
          <t>Bonete con fuelle metálico + empaquetadura de respaldo (fuelle de Inconel 625)</t>
        </is>
      </c>
      <c r="D28" s="5" t="n"/>
      <c r="E28" s="5" t="n"/>
      <c r="F28" s="5" t="n"/>
    </row>
    <row r="29">
      <c r="A29" s="8" t="inlineStr">
        <is>
          <t>Caso C · Alta · Agua producida agria</t>
        </is>
      </c>
      <c r="B29" s="8" t="inlineStr">
        <is>
          <t>Tipo de bonete</t>
        </is>
      </c>
      <c r="C29" s="8" t="inlineStr">
        <is>
          <t>Con fuelle de estanqueidad</t>
        </is>
      </c>
      <c r="D29" s="5" t="n"/>
      <c r="E29" s="5" t="n"/>
      <c r="F29" s="5" t="n"/>
    </row>
    <row r="30">
      <c r="A30" s="8" t="inlineStr">
        <is>
          <t>Caso C · Alta · Agua producida agria</t>
        </is>
      </c>
      <c r="B30" s="8" t="inlineStr">
        <is>
          <t>Emisión fugitiva</t>
        </is>
      </c>
      <c r="C30" s="8" t="inlineStr">
        <is>
          <t>muy baja</t>
        </is>
      </c>
      <c r="D30" s="5" t="n"/>
      <c r="E30" s="5" t="n"/>
      <c r="F30" s="5" t="n"/>
    </row>
    <row r="31">
      <c r="A31" s="8" t="inlineStr">
        <is>
          <t>Caso C · Alta · Agua producida agria</t>
        </is>
      </c>
      <c r="B31" s="8" t="inlineStr">
        <is>
          <t>Servicio agrio / norma</t>
        </is>
      </c>
      <c r="C31" s="8" t="inlineStr">
        <is>
          <t>Sí · ISO 15156 / MR0175</t>
        </is>
      </c>
      <c r="D31" s="5" t="n"/>
      <c r="E31" s="5" t="n"/>
      <c r="F31" s="5" t="n"/>
    </row>
  </sheetData>
  <dataValidations count="1">
    <dataValidation sqref="E2 E3 E4 E5 E6 E7 E8 E9 E10 E11 E12 E13 E14 E15 E16 E17 E18 E19 E20 E21 E22 E23 E24 E25 E26 E27 E28 E29 E30 E31" showDropDown="0" showInputMessage="0" showErrorMessage="0" allowBlank="1" type="list">
      <formula1>"Sí,Parcial,No"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30" customWidth="1" min="4" max="4"/>
    <col width="9" customWidth="1" min="5" max="5"/>
    <col width="16" customWidth="1" min="6" max="6"/>
    <col width="16" customWidth="1" min="7" max="7"/>
    <col width="18" customWidth="1" min="8" max="8"/>
    <col width="12" customWidth="1" min="9" max="9"/>
    <col width="22" customWidth="1" min="10" max="10"/>
    <col width="45" customWidth="1" min="11" max="11"/>
  </cols>
  <sheetData>
    <row r="1">
      <c r="A1" s="3" t="inlineStr">
        <is>
          <t>Caso / tag</t>
        </is>
      </c>
      <c r="B1" s="3" t="inlineStr">
        <is>
          <t>Fluido</t>
        </is>
      </c>
      <c r="C1" s="3" t="inlineStr">
        <is>
          <t>Condición</t>
        </is>
      </c>
      <c r="D1" s="3" t="inlineStr">
        <is>
          <t>Variable</t>
        </is>
      </c>
      <c r="E1" s="3" t="inlineStr">
        <is>
          <t>Unidad</t>
        </is>
      </c>
      <c r="F1" s="3" t="inlineStr">
        <is>
          <t>N25 Valves Sizing</t>
        </is>
      </c>
      <c r="G1" s="3" t="inlineStr">
        <is>
          <t>Software de referencia</t>
        </is>
      </c>
      <c r="H1" s="3" t="inlineStr">
        <is>
          <t>Nombre del software</t>
        </is>
      </c>
      <c r="I1" s="3" t="inlineStr">
        <is>
          <t>Diferencia %</t>
        </is>
      </c>
      <c r="J1" s="3" t="inlineStr">
        <is>
          <t>Archivo .valvula</t>
        </is>
      </c>
      <c r="K1" s="3" t="inlineStr">
        <is>
          <t>Observaciones</t>
        </is>
      </c>
    </row>
    <row r="2">
      <c r="I2" s="9">
        <f>IF(OR(F2="",G2=""),"",(G2-F2)/F2)</f>
        <v/>
      </c>
    </row>
    <row r="3">
      <c r="I3" s="9">
        <f>IF(OR(F3="",G3=""),"",(G3-F3)/F3)</f>
        <v/>
      </c>
    </row>
    <row r="4">
      <c r="I4" s="9">
        <f>IF(OR(F4="",G4=""),"",(G4-F4)/F4)</f>
        <v/>
      </c>
    </row>
    <row r="5">
      <c r="I5" s="9">
        <f>IF(OR(F5="",G5=""),"",(G5-F5)/F5)</f>
        <v/>
      </c>
    </row>
    <row r="6">
      <c r="I6" s="9">
        <f>IF(OR(F6="",G6=""),"",(G6-F6)/F6)</f>
        <v/>
      </c>
    </row>
    <row r="7">
      <c r="I7" s="9">
        <f>IF(OR(F7="",G7=""),"",(G7-F7)/F7)</f>
        <v/>
      </c>
    </row>
    <row r="8">
      <c r="I8" s="9">
        <f>IF(OR(F8="",G8=""),"",(G8-F8)/F8)</f>
        <v/>
      </c>
    </row>
    <row r="9">
      <c r="I9" s="9">
        <f>IF(OR(F9="",G9=""),"",(G9-F9)/F9)</f>
        <v/>
      </c>
    </row>
    <row r="10">
      <c r="I10" s="9">
        <f>IF(OR(F10="",G10=""),"",(G10-F10)/F10)</f>
        <v/>
      </c>
    </row>
    <row r="11">
      <c r="I11" s="9">
        <f>IF(OR(F11="",G11=""),"",(G11-F11)/F11)</f>
        <v/>
      </c>
    </row>
    <row r="12">
      <c r="I12" s="9">
        <f>IF(OR(F12="",G12=""),"",(G12-F12)/F12)</f>
        <v/>
      </c>
    </row>
    <row r="13">
      <c r="I13" s="9">
        <f>IF(OR(F13="",G13=""),"",(G13-F13)/F13)</f>
        <v/>
      </c>
    </row>
    <row r="14">
      <c r="I14" s="9">
        <f>IF(OR(F14="",G14=""),"",(G14-F14)/F14)</f>
        <v/>
      </c>
    </row>
    <row r="15">
      <c r="I15" s="9">
        <f>IF(OR(F15="",G15=""),"",(G15-F15)/F15)</f>
        <v/>
      </c>
    </row>
    <row r="16">
      <c r="I16" s="9">
        <f>IF(OR(F16="",G16=""),"",(G16-F16)/F16)</f>
        <v/>
      </c>
    </row>
    <row r="17">
      <c r="I17" s="9">
        <f>IF(OR(F17="",G17=""),"",(G17-F17)/F17)</f>
        <v/>
      </c>
    </row>
    <row r="18">
      <c r="I18" s="9">
        <f>IF(OR(F18="",G18=""),"",(G18-F18)/F18)</f>
        <v/>
      </c>
    </row>
    <row r="19">
      <c r="I19" s="9">
        <f>IF(OR(F19="",G19=""),"",(G19-F19)/F19)</f>
        <v/>
      </c>
    </row>
    <row r="20">
      <c r="I20" s="9">
        <f>IF(OR(F20="",G20=""),"",(G20-F20)/F20)</f>
        <v/>
      </c>
    </row>
    <row r="21">
      <c r="I21" s="9">
        <f>IF(OR(F21="",G21=""),"",(G21-F21)/F21)</f>
        <v/>
      </c>
    </row>
    <row r="22">
      <c r="I22" s="9">
        <f>IF(OR(F22="",G22=""),"",(G22-F22)/F22)</f>
        <v/>
      </c>
    </row>
    <row r="23">
      <c r="I23" s="9">
        <f>IF(OR(F23="",G23=""),"",(G23-F23)/F23)</f>
        <v/>
      </c>
    </row>
    <row r="24">
      <c r="I24" s="9">
        <f>IF(OR(F24="",G24=""),"",(G24-F24)/F24)</f>
        <v/>
      </c>
    </row>
    <row r="25">
      <c r="I25" s="9">
        <f>IF(OR(F25="",G25=""),"",(G25-F25)/F25)</f>
        <v/>
      </c>
    </row>
    <row r="26">
      <c r="I26" s="9">
        <f>IF(OR(F26="",G26=""),"",(G26-F26)/F26)</f>
        <v/>
      </c>
    </row>
    <row r="27">
      <c r="I27" s="9">
        <f>IF(OR(F27="",G27=""),"",(G27-F27)/F27)</f>
        <v/>
      </c>
    </row>
    <row r="28">
      <c r="I28" s="9">
        <f>IF(OR(F28="",G28=""),"",(G28-F28)/F28)</f>
        <v/>
      </c>
    </row>
    <row r="29">
      <c r="I29" s="9">
        <f>IF(OR(F29="",G29=""),"",(G29-F29)/F29)</f>
        <v/>
      </c>
    </row>
    <row r="30">
      <c r="I30" s="9">
        <f>IF(OR(F30="",G30=""),"",(G30-F30)/F30)</f>
        <v/>
      </c>
    </row>
    <row r="31">
      <c r="I31" s="9">
        <f>IF(OR(F31="",G31=""),"",(G31-F31)/F31)</f>
        <v/>
      </c>
    </row>
    <row r="32">
      <c r="I32" s="9">
        <f>IF(OR(F32="",G32=""),"",(G32-F32)/F32)</f>
        <v/>
      </c>
    </row>
    <row r="33">
      <c r="I33" s="9">
        <f>IF(OR(F33="",G33=""),"",(G33-F33)/F33)</f>
        <v/>
      </c>
    </row>
    <row r="34">
      <c r="I34" s="9">
        <f>IF(OR(F34="",G34=""),"",(G34-F34)/F34)</f>
        <v/>
      </c>
    </row>
    <row r="35">
      <c r="I35" s="9">
        <f>IF(OR(F35="",G35=""),"",(G35-F35)/F35)</f>
        <v/>
      </c>
    </row>
    <row r="36">
      <c r="I36" s="9">
        <f>IF(OR(F36="",G36=""),"",(G36-F36)/F36)</f>
        <v/>
      </c>
    </row>
    <row r="37">
      <c r="I37" s="9">
        <f>IF(OR(F37="",G37=""),"",(G37-F37)/F37)</f>
        <v/>
      </c>
    </row>
    <row r="38">
      <c r="I38" s="9">
        <f>IF(OR(F38="",G38=""),"",(G38-F38)/F38)</f>
        <v/>
      </c>
    </row>
    <row r="39">
      <c r="I39" s="9">
        <f>IF(OR(F39="",G39=""),"",(G39-F39)/F39)</f>
        <v/>
      </c>
    </row>
    <row r="40">
      <c r="I40" s="9">
        <f>IF(OR(F40="",G40=""),"",(G40-F40)/F40)</f>
        <v/>
      </c>
    </row>
    <row r="41">
      <c r="I41" s="9">
        <f>IF(OR(F41="",G41=""),"",(G41-F41)/F41)</f>
        <v/>
      </c>
    </row>
    <row r="42">
      <c r="I42" s="9">
        <f>IF(OR(F42="",G42=""),"",(G42-F42)/F42)</f>
        <v/>
      </c>
    </row>
    <row r="43">
      <c r="I43" s="9">
        <f>IF(OR(F43="",G43=""),"",(G43-F43)/F43)</f>
        <v/>
      </c>
    </row>
    <row r="44">
      <c r="I44" s="9">
        <f>IF(OR(F44="",G44=""),"",(G44-F44)/F44)</f>
        <v/>
      </c>
    </row>
    <row r="45">
      <c r="I45" s="9">
        <f>IF(OR(F45="",G45=""),"",(G45-F45)/F45)</f>
        <v/>
      </c>
    </row>
    <row r="46">
      <c r="I46" s="9">
        <f>IF(OR(F46="",G46=""),"",(G46-F46)/F46)</f>
        <v/>
      </c>
    </row>
    <row r="47">
      <c r="I47" s="9">
        <f>IF(OR(F47="",G47=""),"",(G47-F47)/F47)</f>
        <v/>
      </c>
    </row>
    <row r="48">
      <c r="I48" s="9">
        <f>IF(OR(F48="",G48=""),"",(G48-F48)/F48)</f>
        <v/>
      </c>
    </row>
    <row r="49">
      <c r="I49" s="9">
        <f>IF(OR(F49="",G49=""),"",(G49-F49)/F49)</f>
        <v/>
      </c>
    </row>
    <row r="50">
      <c r="I50" s="9">
        <f>IF(OR(F50="",G50=""),"",(G50-F50)/F50)</f>
        <v/>
      </c>
    </row>
    <row r="51">
      <c r="I51" s="9">
        <f>IF(OR(F51="",G51=""),"",(G51-F51)/F51)</f>
        <v/>
      </c>
    </row>
    <row r="52">
      <c r="I52" s="9">
        <f>IF(OR(F52="",G52=""),"",(G52-F52)/F52)</f>
        <v/>
      </c>
    </row>
    <row r="53">
      <c r="I53" s="9">
        <f>IF(OR(F53="",G53=""),"",(G53-F53)/F53)</f>
        <v/>
      </c>
    </row>
    <row r="54">
      <c r="I54" s="9">
        <f>IF(OR(F54="",G54=""),"",(G54-F54)/F54)</f>
        <v/>
      </c>
    </row>
    <row r="55">
      <c r="I55" s="9">
        <f>IF(OR(F55="",G55=""),"",(G55-F55)/F55)</f>
        <v/>
      </c>
    </row>
    <row r="56">
      <c r="I56" s="9">
        <f>IF(OR(F56="",G56=""),"",(G56-F56)/F56)</f>
        <v/>
      </c>
    </row>
    <row r="57">
      <c r="I57" s="9">
        <f>IF(OR(F57="",G57=""),"",(G57-F57)/F57)</f>
        <v/>
      </c>
    </row>
    <row r="58">
      <c r="I58" s="9">
        <f>IF(OR(F58="",G58=""),"",(G58-F58)/F58)</f>
        <v/>
      </c>
    </row>
    <row r="59">
      <c r="I59" s="9">
        <f>IF(OR(F59="",G59=""),"",(G59-F59)/F59)</f>
        <v/>
      </c>
    </row>
    <row r="60">
      <c r="I60" s="9">
        <f>IF(OR(F60="",G60=""),"",(G60-F60)/F60)</f>
        <v/>
      </c>
    </row>
    <row r="61">
      <c r="I61" s="9">
        <f>IF(OR(F61="",G61=""),"",(G61-F61)/F61)</f>
        <v/>
      </c>
    </row>
    <row r="62">
      <c r="I62" s="9">
        <f>IF(OR(F62="",G62=""),"",(G62-F62)/F62)</f>
        <v/>
      </c>
    </row>
    <row r="63">
      <c r="I63" s="9">
        <f>IF(OR(F63="",G63=""),"",(G63-F63)/F63)</f>
        <v/>
      </c>
    </row>
    <row r="64">
      <c r="I64" s="9">
        <f>IF(OR(F64="",G64=""),"",(G64-F64)/F64)</f>
        <v/>
      </c>
    </row>
    <row r="65">
      <c r="I65" s="9">
        <f>IF(OR(F65="",G65=""),"",(G65-F65)/F65)</f>
        <v/>
      </c>
    </row>
    <row r="66">
      <c r="I66" s="9">
        <f>IF(OR(F66="",G66=""),"",(G66-F66)/F66)</f>
        <v/>
      </c>
    </row>
    <row r="67">
      <c r="I67" s="9">
        <f>IF(OR(F67="",G67=""),"",(G67-F67)/F67)</f>
        <v/>
      </c>
    </row>
    <row r="68">
      <c r="I68" s="9">
        <f>IF(OR(F68="",G68=""),"",(G68-F68)/F68)</f>
        <v/>
      </c>
    </row>
    <row r="69">
      <c r="I69" s="9">
        <f>IF(OR(F69="",G69=""),"",(G69-F69)/F69)</f>
        <v/>
      </c>
    </row>
    <row r="70">
      <c r="I70" s="9">
        <f>IF(OR(F70="",G70=""),"",(G70-F70)/F70)</f>
        <v/>
      </c>
    </row>
    <row r="71">
      <c r="I71" s="9">
        <f>IF(OR(F71="",G71=""),"",(G71-F71)/F71)</f>
        <v/>
      </c>
    </row>
    <row r="72">
      <c r="I72" s="9">
        <f>IF(OR(F72="",G72=""),"",(G72-F72)/F72)</f>
        <v/>
      </c>
    </row>
    <row r="73">
      <c r="I73" s="9">
        <f>IF(OR(F73="",G73=""),"",(G73-F73)/F73)</f>
        <v/>
      </c>
    </row>
    <row r="74">
      <c r="I74" s="9">
        <f>IF(OR(F74="",G74=""),"",(G74-F74)/F74)</f>
        <v/>
      </c>
    </row>
    <row r="75">
      <c r="I75" s="9">
        <f>IF(OR(F75="",G75=""),"",(G75-F75)/F75)</f>
        <v/>
      </c>
    </row>
    <row r="76">
      <c r="I76" s="9">
        <f>IF(OR(F76="",G76=""),"",(G76-F76)/F76)</f>
        <v/>
      </c>
    </row>
    <row r="77">
      <c r="I77" s="9">
        <f>IF(OR(F77="",G77=""),"",(G77-F77)/F77)</f>
        <v/>
      </c>
    </row>
    <row r="78">
      <c r="I78" s="9">
        <f>IF(OR(F78="",G78=""),"",(G78-F78)/F78)</f>
        <v/>
      </c>
    </row>
    <row r="79">
      <c r="I79" s="9">
        <f>IF(OR(F79="",G79=""),"",(G79-F79)/F79)</f>
        <v/>
      </c>
    </row>
    <row r="80">
      <c r="I80" s="9">
        <f>IF(OR(F80="",G80=""),"",(G80-F80)/F80)</f>
        <v/>
      </c>
    </row>
    <row r="81">
      <c r="I81" s="9">
        <f>IF(OR(F81="",G81=""),"",(G81-F81)/F81)</f>
        <v/>
      </c>
    </row>
    <row r="82">
      <c r="I82" s="9">
        <f>IF(OR(F82="",G82=""),"",(G82-F82)/F82)</f>
        <v/>
      </c>
    </row>
    <row r="83">
      <c r="I83" s="9">
        <f>IF(OR(F83="",G83=""),"",(G83-F83)/F83)</f>
        <v/>
      </c>
    </row>
    <row r="84">
      <c r="I84" s="9">
        <f>IF(OR(F84="",G84=""),"",(G84-F84)/F84)</f>
        <v/>
      </c>
    </row>
    <row r="85">
      <c r="I85" s="9">
        <f>IF(OR(F85="",G85=""),"",(G85-F85)/F85)</f>
        <v/>
      </c>
    </row>
    <row r="86">
      <c r="I86" s="9">
        <f>IF(OR(F86="",G86=""),"",(G86-F86)/F86)</f>
        <v/>
      </c>
    </row>
    <row r="87">
      <c r="I87" s="9">
        <f>IF(OR(F87="",G87=""),"",(G87-F87)/F87)</f>
        <v/>
      </c>
    </row>
    <row r="88">
      <c r="I88" s="9">
        <f>IF(OR(F88="",G88=""),"",(G88-F88)/F88)</f>
        <v/>
      </c>
    </row>
    <row r="89">
      <c r="I89" s="9">
        <f>IF(OR(F89="",G89=""),"",(G89-F89)/F89)</f>
        <v/>
      </c>
    </row>
    <row r="90">
      <c r="I90" s="9">
        <f>IF(OR(F90="",G90=""),"",(G90-F90)/F90)</f>
        <v/>
      </c>
    </row>
    <row r="91">
      <c r="I91" s="9">
        <f>IF(OR(F91="",G91=""),"",(G91-F91)/F91)</f>
        <v/>
      </c>
    </row>
    <row r="92">
      <c r="I92" s="9">
        <f>IF(OR(F92="",G92=""),"",(G92-F92)/F92)</f>
        <v/>
      </c>
    </row>
    <row r="93">
      <c r="I93" s="9">
        <f>IF(OR(F93="",G93=""),"",(G93-F93)/F93)</f>
        <v/>
      </c>
    </row>
    <row r="94">
      <c r="I94" s="9">
        <f>IF(OR(F94="",G94=""),"",(G94-F94)/F94)</f>
        <v/>
      </c>
    </row>
    <row r="95">
      <c r="I95" s="9">
        <f>IF(OR(F95="",G95=""),"",(G95-F95)/F95)</f>
        <v/>
      </c>
    </row>
    <row r="96">
      <c r="I96" s="9">
        <f>IF(OR(F96="",G96=""),"",(G96-F96)/F96)</f>
        <v/>
      </c>
    </row>
    <row r="97">
      <c r="I97" s="9">
        <f>IF(OR(F97="",G97=""),"",(G97-F97)/F97)</f>
        <v/>
      </c>
    </row>
    <row r="98">
      <c r="I98" s="9">
        <f>IF(OR(F98="",G98=""),"",(G98-F98)/F98)</f>
        <v/>
      </c>
    </row>
    <row r="99">
      <c r="I99" s="9">
        <f>IF(OR(F99="",G99=""),"",(G99-F99)/F99)</f>
        <v/>
      </c>
    </row>
    <row r="100">
      <c r="I100" s="9">
        <f>IF(OR(F100="",G100=""),"",(G100-F100)/F100)</f>
        <v/>
      </c>
    </row>
    <row r="101">
      <c r="I101" s="9">
        <f>IF(OR(F101="",G101=""),"",(G101-F101)/F101)</f>
        <v/>
      </c>
    </row>
  </sheetData>
  <dataValidations count="1">
    <dataValidation sqref="B2:B101" showDropDown="0" showInputMessage="0" showErrorMessage="0" allowBlank="1" type="list">
      <formula1>"Líquido,Gas,Vapor,Vapor de agua"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4" customWidth="1" min="4" max="4"/>
    <col width="60" customWidth="1" min="5" max="5"/>
    <col width="50" customWidth="1" min="6" max="6"/>
    <col width="12" customWidth="1" min="7" max="7"/>
    <col width="24" customWidth="1" min="8" max="8"/>
  </cols>
  <sheetData>
    <row r="1">
      <c r="A1" s="3" t="inlineStr">
        <is>
          <t>N°</t>
        </is>
      </c>
      <c r="B1" s="3" t="inlineStr">
        <is>
          <t>Fecha</t>
        </is>
      </c>
      <c r="C1" s="3" t="inlineStr">
        <is>
          <t>Tipo</t>
        </is>
      </c>
      <c r="D1" s="3" t="inlineStr">
        <is>
          <t>Pantalla o documento</t>
        </is>
      </c>
      <c r="E1" s="3" t="inlineStr">
        <is>
          <t>Descripción</t>
        </is>
      </c>
      <c r="F1" s="3" t="inlineStr">
        <is>
          <t>Cómo reproducirlo</t>
        </is>
      </c>
      <c r="G1" s="3" t="inlineStr">
        <is>
          <t>Gravedad</t>
        </is>
      </c>
      <c r="H1" s="3" t="inlineStr">
        <is>
          <t>Captura / archivo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dataValidations count="2">
    <dataValidation sqref="C2:C200" showDropDown="0" showInputMessage="0" showErrorMessage="0" allowBlank="1" type="list">
      <formula1>"Error de cálculo,Error del programa,Texto o traducción,Mejora sugerida,Duda"</formula1>
    </dataValidation>
    <dataValidation sqref="G2:G2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2026-10-29T01:17:03Z</dcterms:created>
  <dcterms:modified xmlns:dcterms="http://purl.org/dc/terms/" xmlns:xsi="http://www.w3.org/2001/XMLSchema-instance" xsi:type="dcterms:W3CDTF">2026-10-29T01:17:03Z</dcterms:modified>
</cp:coreProperties>
</file>